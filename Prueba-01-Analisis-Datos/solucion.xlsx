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4" Type="http://schemas.openxmlformats.org/officeDocument/2006/relationships/extended-properties" Target="docProps/app.xml"/><Relationship Id="rId1" Type="http://schemas.openxmlformats.org/officeDocument/2006/relationships/officeDocument" Target="xl/workbook.xml"/><Relationship Id="rId2" Type="http://schemas.openxmlformats.org/package/2006/relationships/metadata/thumbnail" Target="docProps/thumbnail.jpeg"/></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26215"/>
  <workbookPr showInkAnnotation="0" hidePivotFieldList="1"/>
  <mc:AlternateContent xmlns:mc="http://schemas.openxmlformats.org/markup-compatibility/2006">
    <mc:Choice Requires="x15">
      <x15ac:absPath xmlns:x15ac="http://schemas.microsoft.com/office/spreadsheetml/2010/11/ac" url="/Users/violeta/Desktop/Sence-talentodigital-pruebas/Prueba-01-Analisis-Datos/"/>
    </mc:Choice>
  </mc:AlternateContent>
  <bookViews>
    <workbookView xWindow="620" yWindow="460" windowWidth="23880" windowHeight="17540" tabRatio="500" activeTab="1"/>
  </bookViews>
  <sheets>
    <sheet name="Material de apoyo - Prueba " sheetId="7" r:id="rId1"/>
    <sheet name="Pregunta 1" sheetId="10" r:id="rId2"/>
    <sheet name="Pregunta 2" sheetId="3" r:id="rId3"/>
    <sheet name="Pregunta 3" sheetId="8" r:id="rId4"/>
  </sheets>
  <externalReferences>
    <externalReference r:id="rId5"/>
  </externalReferences>
  <definedNames>
    <definedName name="_10_Material_de_apoyo___Prueba" localSheetId="2">'Pregunta 2'!#REF!</definedName>
    <definedName name="_xlnm._FilterDatabase" localSheetId="0" hidden="1">'Material de apoyo - Prueba '!$A$1:$G$305</definedName>
  </definedNames>
  <calcPr calcId="150001" concurrentCalc="0"/>
  <extLst>
    <ext xmlns:mx="http://schemas.microsoft.com/office/mac/excel/2008/main" uri="{7523E5D3-25F3-A5E0-1632-64F254C22452}">
      <mx:ArchID Flags="2"/>
    </ext>
  </extLst>
</workbook>
</file>

<file path=xl/calcChain.xml><?xml version="1.0" encoding="utf-8"?>
<calcChain xmlns="http://schemas.openxmlformats.org/spreadsheetml/2006/main">
  <c r="F6" i="8" l="1"/>
  <c r="F7" i="8"/>
  <c r="F8" i="8"/>
  <c r="F9" i="8"/>
  <c r="F10" i="8"/>
  <c r="F11" i="8"/>
  <c r="F12" i="8"/>
  <c r="F13" i="8"/>
  <c r="F14" i="8"/>
  <c r="F15" i="8"/>
  <c r="F16" i="8"/>
  <c r="F17" i="8"/>
  <c r="F18" i="8"/>
  <c r="F19" i="8"/>
  <c r="F20" i="8"/>
  <c r="F21" i="8"/>
  <c r="F22" i="8"/>
  <c r="F23" i="8"/>
  <c r="F24" i="8"/>
  <c r="F5" i="8"/>
  <c r="C15" i="3"/>
  <c r="C27" i="3"/>
  <c r="C26" i="3"/>
  <c r="C25" i="3"/>
  <c r="C24" i="3"/>
  <c r="C20" i="3"/>
  <c r="C19" i="3"/>
  <c r="C18" i="3"/>
  <c r="C17" i="3"/>
  <c r="C16" i="3"/>
</calcChain>
</file>

<file path=xl/connections.xml><?xml version="1.0" encoding="utf-8"?>
<connections xmlns="http://schemas.openxmlformats.org/spreadsheetml/2006/main">
  <connection id="1" name="10_Material de apoyo - Prueba" type="6" refreshedVersion="0" background="1">
    <textPr fileType="mac" sourceFile="/Users/violeta/Downloads/10_Material de apoyo - Prueba.csv" delimited="0" decimal="," thousands=".">
      <textFields>
        <textField/>
      </textFields>
    </textPr>
  </connection>
</connections>
</file>

<file path=xl/sharedStrings.xml><?xml version="1.0" encoding="utf-8"?>
<sst xmlns="http://schemas.openxmlformats.org/spreadsheetml/2006/main" count="1728" uniqueCount="686">
  <si>
    <t>Fecha</t>
  </si>
  <si>
    <t>Producto</t>
  </si>
  <si>
    <t>Monto</t>
  </si>
  <si>
    <t>Stock</t>
  </si>
  <si>
    <t>ID_Cliente</t>
  </si>
  <si>
    <t>15/01/2024</t>
  </si>
  <si>
    <t>Norte</t>
  </si>
  <si>
    <t>C001</t>
  </si>
  <si>
    <t>16/01/2024</t>
  </si>
  <si>
    <t>Sur</t>
  </si>
  <si>
    <t>C003</t>
  </si>
  <si>
    <t>17/01/2024</t>
  </si>
  <si>
    <t>Centro</t>
  </si>
  <si>
    <t>C005</t>
  </si>
  <si>
    <t>C006</t>
  </si>
  <si>
    <t>Este</t>
  </si>
  <si>
    <t>20/01/2024</t>
  </si>
  <si>
    <t>C009</t>
  </si>
  <si>
    <t>21/01/2024</t>
  </si>
  <si>
    <t>Oeste</t>
  </si>
  <si>
    <t>C010</t>
  </si>
  <si>
    <t>22/01/2024</t>
  </si>
  <si>
    <t>SmartWatch</t>
  </si>
  <si>
    <t>C011</t>
  </si>
  <si>
    <t>23/01/2024</t>
  </si>
  <si>
    <t>Accesorios</t>
  </si>
  <si>
    <t>C012</t>
  </si>
  <si>
    <t>24/01/2024</t>
  </si>
  <si>
    <t>C013</t>
  </si>
  <si>
    <t>25/01/2024</t>
  </si>
  <si>
    <t>C014</t>
  </si>
  <si>
    <t>26/01/2024</t>
  </si>
  <si>
    <t>C015</t>
  </si>
  <si>
    <t>01/03/2024</t>
  </si>
  <si>
    <t>C016</t>
  </si>
  <si>
    <t>21/08/2024</t>
  </si>
  <si>
    <t>C017</t>
  </si>
  <si>
    <t>10/05/2024</t>
  </si>
  <si>
    <t>C018</t>
  </si>
  <si>
    <t>C019</t>
  </si>
  <si>
    <t>23/06/2024</t>
  </si>
  <si>
    <t>C020</t>
  </si>
  <si>
    <t>C021</t>
  </si>
  <si>
    <t>12/06/2024</t>
  </si>
  <si>
    <t>C022</t>
  </si>
  <si>
    <t>C023</t>
  </si>
  <si>
    <t>24/11/2024</t>
  </si>
  <si>
    <t>C024</t>
  </si>
  <si>
    <t>C025</t>
  </si>
  <si>
    <t>C026</t>
  </si>
  <si>
    <t>28/09/2024</t>
  </si>
  <si>
    <t>C027</t>
  </si>
  <si>
    <t>17/11/2024</t>
  </si>
  <si>
    <t>C028</t>
  </si>
  <si>
    <t>28/07/2024</t>
  </si>
  <si>
    <t>C029</t>
  </si>
  <si>
    <t>C030</t>
  </si>
  <si>
    <t>03/07/2024</t>
  </si>
  <si>
    <t>C031</t>
  </si>
  <si>
    <t>25/11/2024</t>
  </si>
  <si>
    <t>C032</t>
  </si>
  <si>
    <t>06/10/2024</t>
  </si>
  <si>
    <t>C033</t>
  </si>
  <si>
    <t>28/03/2024</t>
  </si>
  <si>
    <t>C035</t>
  </si>
  <si>
    <t>30/07/2024</t>
  </si>
  <si>
    <t>C036</t>
  </si>
  <si>
    <t>12/07/2024</t>
  </si>
  <si>
    <t>C037</t>
  </si>
  <si>
    <t>20/09/2024</t>
  </si>
  <si>
    <t>C038</t>
  </si>
  <si>
    <t>26/08/2024</t>
  </si>
  <si>
    <t>C039</t>
  </si>
  <si>
    <t>C040</t>
  </si>
  <si>
    <t>25/06/2024</t>
  </si>
  <si>
    <t>C041</t>
  </si>
  <si>
    <t>13/12/2024</t>
  </si>
  <si>
    <t>C042</t>
  </si>
  <si>
    <t>25/04/2024</t>
  </si>
  <si>
    <t>C043</t>
  </si>
  <si>
    <t>22/11/2024</t>
  </si>
  <si>
    <t>C045</t>
  </si>
  <si>
    <t>26/02/2024</t>
  </si>
  <si>
    <t>C046</t>
  </si>
  <si>
    <t>17/04/2024</t>
  </si>
  <si>
    <t>C047</t>
  </si>
  <si>
    <t>C048</t>
  </si>
  <si>
    <t>C050</t>
  </si>
  <si>
    <t>C052</t>
  </si>
  <si>
    <t>28/04/2024</t>
  </si>
  <si>
    <t>C053</t>
  </si>
  <si>
    <t>C054</t>
  </si>
  <si>
    <t>C055</t>
  </si>
  <si>
    <t>18/11/2024</t>
  </si>
  <si>
    <t>C056</t>
  </si>
  <si>
    <t>01/10/2024</t>
  </si>
  <si>
    <t>C059</t>
  </si>
  <si>
    <t>C060</t>
  </si>
  <si>
    <t>C061</t>
  </si>
  <si>
    <t>16/10/2024</t>
  </si>
  <si>
    <t>C063</t>
  </si>
  <si>
    <t>04/09/2024</t>
  </si>
  <si>
    <t>C064</t>
  </si>
  <si>
    <t>02/05/2024</t>
  </si>
  <si>
    <t>C065</t>
  </si>
  <si>
    <t>05/11/2024</t>
  </si>
  <si>
    <t>C066</t>
  </si>
  <si>
    <t>04/07/2024</t>
  </si>
  <si>
    <t>C067</t>
  </si>
  <si>
    <t>05/02/2024</t>
  </si>
  <si>
    <t>C068</t>
  </si>
  <si>
    <t>C069</t>
  </si>
  <si>
    <t>16/09/2024</t>
  </si>
  <si>
    <t>C070</t>
  </si>
  <si>
    <t>09/06/2024</t>
  </si>
  <si>
    <t>C071</t>
  </si>
  <si>
    <t>23/04/2024</t>
  </si>
  <si>
    <t>C072</t>
  </si>
  <si>
    <t>C073</t>
  </si>
  <si>
    <t>10/06/2024</t>
  </si>
  <si>
    <t>C074</t>
  </si>
  <si>
    <t>C075</t>
  </si>
  <si>
    <t>27/07/2024</t>
  </si>
  <si>
    <t>C076</t>
  </si>
  <si>
    <t>C077</t>
  </si>
  <si>
    <t>02/03/2024</t>
  </si>
  <si>
    <t>C078</t>
  </si>
  <si>
    <t>16/11/2024</t>
  </si>
  <si>
    <t>C079</t>
  </si>
  <si>
    <t>19/01/2024</t>
  </si>
  <si>
    <t>C080</t>
  </si>
  <si>
    <t>C081</t>
  </si>
  <si>
    <t>05/04/2024</t>
  </si>
  <si>
    <t>C082</t>
  </si>
  <si>
    <t>15/12/2024</t>
  </si>
  <si>
    <t>C083</t>
  </si>
  <si>
    <t>C084</t>
  </si>
  <si>
    <t>C085</t>
  </si>
  <si>
    <t>04/10/2024</t>
  </si>
  <si>
    <t>C086</t>
  </si>
  <si>
    <t>26/05/2024</t>
  </si>
  <si>
    <t>C087</t>
  </si>
  <si>
    <t>12/11/2024</t>
  </si>
  <si>
    <t>C088</t>
  </si>
  <si>
    <t>C089</t>
  </si>
  <si>
    <t>06/05/2024</t>
  </si>
  <si>
    <t>C092</t>
  </si>
  <si>
    <t>29/04/2024</t>
  </si>
  <si>
    <t>C093</t>
  </si>
  <si>
    <t>21/11/2024</t>
  </si>
  <si>
    <t>C094</t>
  </si>
  <si>
    <t>19/02/2024</t>
  </si>
  <si>
    <t>C095</t>
  </si>
  <si>
    <t>30/04/2024</t>
  </si>
  <si>
    <t>C096</t>
  </si>
  <si>
    <t>24/06/2024</t>
  </si>
  <si>
    <t>C097</t>
  </si>
  <si>
    <t>14/05/2024</t>
  </si>
  <si>
    <t>C098</t>
  </si>
  <si>
    <t>19/09/2024</t>
  </si>
  <si>
    <t>C099</t>
  </si>
  <si>
    <t>C100</t>
  </si>
  <si>
    <t>01/07/2024</t>
  </si>
  <si>
    <t>C101</t>
  </si>
  <si>
    <t>10/11/2024</t>
  </si>
  <si>
    <t>C102</t>
  </si>
  <si>
    <t>20/08/2024</t>
  </si>
  <si>
    <t>C103</t>
  </si>
  <si>
    <t>19/05/2024</t>
  </si>
  <si>
    <t>C104</t>
  </si>
  <si>
    <t>24/09/2024</t>
  </si>
  <si>
    <t>C106</t>
  </si>
  <si>
    <t>07/03/2024</t>
  </si>
  <si>
    <t>C107</t>
  </si>
  <si>
    <t>26/09/2024</t>
  </si>
  <si>
    <t>C108</t>
  </si>
  <si>
    <t>08/03/2024</t>
  </si>
  <si>
    <t>C109</t>
  </si>
  <si>
    <t>29/10/2024</t>
  </si>
  <si>
    <t>C110</t>
  </si>
  <si>
    <t>C111</t>
  </si>
  <si>
    <t>14/10/2024</t>
  </si>
  <si>
    <t>C112</t>
  </si>
  <si>
    <t>C113</t>
  </si>
  <si>
    <t>14/03/2024</t>
  </si>
  <si>
    <t>C114</t>
  </si>
  <si>
    <t>C115</t>
  </si>
  <si>
    <t>06/09/2024</t>
  </si>
  <si>
    <t>C116</t>
  </si>
  <si>
    <t>21/10/2024</t>
  </si>
  <si>
    <t>C117</t>
  </si>
  <si>
    <t>09/03/2024</t>
  </si>
  <si>
    <t>C118</t>
  </si>
  <si>
    <t>06/06/2024</t>
  </si>
  <si>
    <t>C119</t>
  </si>
  <si>
    <t>C120</t>
  </si>
  <si>
    <t>10/02/2024</t>
  </si>
  <si>
    <t>C121</t>
  </si>
  <si>
    <t>C122</t>
  </si>
  <si>
    <t>19/12/2024</t>
  </si>
  <si>
    <t>C123</t>
  </si>
  <si>
    <t>18/08/2024</t>
  </si>
  <si>
    <t>C124</t>
  </si>
  <si>
    <t>C125</t>
  </si>
  <si>
    <t>23/09/2024</t>
  </si>
  <si>
    <t>C126</t>
  </si>
  <si>
    <t>30/10/2024</t>
  </si>
  <si>
    <t>C127</t>
  </si>
  <si>
    <t>21/07/2024</t>
  </si>
  <si>
    <t>C128</t>
  </si>
  <si>
    <t>C129</t>
  </si>
  <si>
    <t>10/09/2024</t>
  </si>
  <si>
    <t>C130</t>
  </si>
  <si>
    <t>30/03/2024</t>
  </si>
  <si>
    <t>C131</t>
  </si>
  <si>
    <t>16/02/2024</t>
  </si>
  <si>
    <t>C132</t>
  </si>
  <si>
    <t>C133</t>
  </si>
  <si>
    <t>11/09/2024</t>
  </si>
  <si>
    <t>C134</t>
  </si>
  <si>
    <t>C135</t>
  </si>
  <si>
    <t>04/05/2024</t>
  </si>
  <si>
    <t>C136</t>
  </si>
  <si>
    <t>25/07/2024</t>
  </si>
  <si>
    <t>C137</t>
  </si>
  <si>
    <t>C138</t>
  </si>
  <si>
    <t>C139</t>
  </si>
  <si>
    <t>C140</t>
  </si>
  <si>
    <t>09/07/2024</t>
  </si>
  <si>
    <t>C141</t>
  </si>
  <si>
    <t>05/12/2024</t>
  </si>
  <si>
    <t>C142</t>
  </si>
  <si>
    <t>C143</t>
  </si>
  <si>
    <t>C144</t>
  </si>
  <si>
    <t>C145</t>
  </si>
  <si>
    <t>C146</t>
  </si>
  <si>
    <t>C148</t>
  </si>
  <si>
    <t>12/12/2024</t>
  </si>
  <si>
    <t>C149</t>
  </si>
  <si>
    <t>C150</t>
  </si>
  <si>
    <t>C151</t>
  </si>
  <si>
    <t>01/12/2024</t>
  </si>
  <si>
    <t>C152</t>
  </si>
  <si>
    <t>C153</t>
  </si>
  <si>
    <t>18/07/2024</t>
  </si>
  <si>
    <t>C154</t>
  </si>
  <si>
    <t>C155</t>
  </si>
  <si>
    <t>08/05/2024</t>
  </si>
  <si>
    <t>C156</t>
  </si>
  <si>
    <t>02/08/2024</t>
  </si>
  <si>
    <t>C159</t>
  </si>
  <si>
    <t>C160</t>
  </si>
  <si>
    <t>26/11/2024</t>
  </si>
  <si>
    <t>C161</t>
  </si>
  <si>
    <t>03/06/2024</t>
  </si>
  <si>
    <t>C162</t>
  </si>
  <si>
    <t>C163</t>
  </si>
  <si>
    <t>06/04/2024</t>
  </si>
  <si>
    <t>C164</t>
  </si>
  <si>
    <t>C165</t>
  </si>
  <si>
    <t>05/09/2024</t>
  </si>
  <si>
    <t>C167</t>
  </si>
  <si>
    <t>23/05/2024</t>
  </si>
  <si>
    <t>C168</t>
  </si>
  <si>
    <t>C169</t>
  </si>
  <si>
    <t>C170</t>
  </si>
  <si>
    <t>05/10/2024</t>
  </si>
  <si>
    <t>C171</t>
  </si>
  <si>
    <t>17/09/2024</t>
  </si>
  <si>
    <t>C172</t>
  </si>
  <si>
    <t>C173</t>
  </si>
  <si>
    <t>C175</t>
  </si>
  <si>
    <t>19/03/2024</t>
  </si>
  <si>
    <t>C176</t>
  </si>
  <si>
    <t>C177</t>
  </si>
  <si>
    <t>C178</t>
  </si>
  <si>
    <t>14/11/2024</t>
  </si>
  <si>
    <t>C180</t>
  </si>
  <si>
    <t>C181</t>
  </si>
  <si>
    <t>07/08/2024</t>
  </si>
  <si>
    <t>C182</t>
  </si>
  <si>
    <t>C183</t>
  </si>
  <si>
    <t>C184</t>
  </si>
  <si>
    <t>11/11/2024</t>
  </si>
  <si>
    <t>C185</t>
  </si>
  <si>
    <t>10/08/2024</t>
  </si>
  <si>
    <t>C186</t>
  </si>
  <si>
    <t>C188</t>
  </si>
  <si>
    <t>14/08/2024</t>
  </si>
  <si>
    <t>C189</t>
  </si>
  <si>
    <t>30/06/2024</t>
  </si>
  <si>
    <t>C190</t>
  </si>
  <si>
    <t>C191</t>
  </si>
  <si>
    <t>15/11/2024</t>
  </si>
  <si>
    <t>C192</t>
  </si>
  <si>
    <t>22/09/2024</t>
  </si>
  <si>
    <t>C194</t>
  </si>
  <si>
    <t>08/06/2024</t>
  </si>
  <si>
    <t>C195</t>
  </si>
  <si>
    <t>C196</t>
  </si>
  <si>
    <t>27/02/2024</t>
  </si>
  <si>
    <t>C197</t>
  </si>
  <si>
    <t>22/05/2024</t>
  </si>
  <si>
    <t>C198</t>
  </si>
  <si>
    <t>01/09/2024</t>
  </si>
  <si>
    <t>C199</t>
  </si>
  <si>
    <t>17/05/2024</t>
  </si>
  <si>
    <t>C200</t>
  </si>
  <si>
    <t>20/10/2024</t>
  </si>
  <si>
    <t>C201</t>
  </si>
  <si>
    <t>C202</t>
  </si>
  <si>
    <t>21/06/2024</t>
  </si>
  <si>
    <t>C203</t>
  </si>
  <si>
    <t>C204</t>
  </si>
  <si>
    <t>C205</t>
  </si>
  <si>
    <t>C206</t>
  </si>
  <si>
    <t>16/04/2024</t>
  </si>
  <si>
    <t>C207</t>
  </si>
  <si>
    <t>27/05/2024</t>
  </si>
  <si>
    <t>C208</t>
  </si>
  <si>
    <t>C209</t>
  </si>
  <si>
    <t>03/04/2024</t>
  </si>
  <si>
    <t>C210</t>
  </si>
  <si>
    <t>C211</t>
  </si>
  <si>
    <t>14/09/2024</t>
  </si>
  <si>
    <t>C212</t>
  </si>
  <si>
    <t>04/08/2024</t>
  </si>
  <si>
    <t>C214</t>
  </si>
  <si>
    <t>C215</t>
  </si>
  <si>
    <t>C216</t>
  </si>
  <si>
    <t>03/05/2024</t>
  </si>
  <si>
    <t>C217</t>
  </si>
  <si>
    <t>C218</t>
  </si>
  <si>
    <t>15/09/2024</t>
  </si>
  <si>
    <t>C219</t>
  </si>
  <si>
    <t>C220</t>
  </si>
  <si>
    <t>C221</t>
  </si>
  <si>
    <t>C222</t>
  </si>
  <si>
    <t>C224</t>
  </si>
  <si>
    <t>C225</t>
  </si>
  <si>
    <t>C226</t>
  </si>
  <si>
    <t>01/11/2024</t>
  </si>
  <si>
    <t>C227</t>
  </si>
  <si>
    <t>C228</t>
  </si>
  <si>
    <t>02/09/2024</t>
  </si>
  <si>
    <t>C229</t>
  </si>
  <si>
    <t>C230</t>
  </si>
  <si>
    <t>C231</t>
  </si>
  <si>
    <t>C232</t>
  </si>
  <si>
    <t>C233</t>
  </si>
  <si>
    <t>C234</t>
  </si>
  <si>
    <t>C235</t>
  </si>
  <si>
    <t>C236</t>
  </si>
  <si>
    <t>C237</t>
  </si>
  <si>
    <t>19/11/2024</t>
  </si>
  <si>
    <t>C238</t>
  </si>
  <si>
    <t>C239</t>
  </si>
  <si>
    <t>16/12/2024</t>
  </si>
  <si>
    <t>C240</t>
  </si>
  <si>
    <t>C241</t>
  </si>
  <si>
    <t>C242</t>
  </si>
  <si>
    <t>C243</t>
  </si>
  <si>
    <t>27/10/2024</t>
  </si>
  <si>
    <t>C244</t>
  </si>
  <si>
    <t>26/03/2024</t>
  </si>
  <si>
    <t>C246</t>
  </si>
  <si>
    <t>16/03/2024</t>
  </si>
  <si>
    <t>C247</t>
  </si>
  <si>
    <t>C248</t>
  </si>
  <si>
    <t>C251</t>
  </si>
  <si>
    <t>C252</t>
  </si>
  <si>
    <t>C253</t>
  </si>
  <si>
    <t>C254</t>
  </si>
  <si>
    <t>C256</t>
  </si>
  <si>
    <t>C257</t>
  </si>
  <si>
    <t>C258</t>
  </si>
  <si>
    <t>C259</t>
  </si>
  <si>
    <t>15/07/2024</t>
  </si>
  <si>
    <t>C260</t>
  </si>
  <si>
    <t>C261</t>
  </si>
  <si>
    <t>C262</t>
  </si>
  <si>
    <t>21/09/2024</t>
  </si>
  <si>
    <t>C264</t>
  </si>
  <si>
    <t>20/12/2024</t>
  </si>
  <si>
    <t>C265</t>
  </si>
  <si>
    <t>C266</t>
  </si>
  <si>
    <t>05/07/2024</t>
  </si>
  <si>
    <t>C267</t>
  </si>
  <si>
    <t>C268</t>
  </si>
  <si>
    <t>C269</t>
  </si>
  <si>
    <t>01/02/2024</t>
  </si>
  <si>
    <t>C270</t>
  </si>
  <si>
    <t>C271</t>
  </si>
  <si>
    <t>14/04/2024</t>
  </si>
  <si>
    <t>C272</t>
  </si>
  <si>
    <t>C273</t>
  </si>
  <si>
    <t>C274</t>
  </si>
  <si>
    <t>C275</t>
  </si>
  <si>
    <t>18/02/2024</t>
  </si>
  <si>
    <t>C276</t>
  </si>
  <si>
    <t>C277</t>
  </si>
  <si>
    <t>C278</t>
  </si>
  <si>
    <t>C279</t>
  </si>
  <si>
    <t>C280</t>
  </si>
  <si>
    <t>C281</t>
  </si>
  <si>
    <t>C282</t>
  </si>
  <si>
    <t>C283</t>
  </si>
  <si>
    <t>C284</t>
  </si>
  <si>
    <t>27/08/2024</t>
  </si>
  <si>
    <t>C285</t>
  </si>
  <si>
    <t>C286</t>
  </si>
  <si>
    <t>14/12/2024</t>
  </si>
  <si>
    <t>C287</t>
  </si>
  <si>
    <t>C288</t>
  </si>
  <si>
    <t>C290</t>
  </si>
  <si>
    <t>C291</t>
  </si>
  <si>
    <t>C292</t>
  </si>
  <si>
    <t>C293</t>
  </si>
  <si>
    <t>C295</t>
  </si>
  <si>
    <t>C296</t>
  </si>
  <si>
    <t>18/09/2024</t>
  </si>
  <si>
    <t>C297</t>
  </si>
  <si>
    <t>C298</t>
  </si>
  <si>
    <t>07/06/2024</t>
  </si>
  <si>
    <t>C299</t>
  </si>
  <si>
    <t>C300</t>
  </si>
  <si>
    <t>C302</t>
  </si>
  <si>
    <t>03/11/2024</t>
  </si>
  <si>
    <t>C303</t>
  </si>
  <si>
    <t>07/04/2024</t>
  </si>
  <si>
    <t>C304</t>
  </si>
  <si>
    <t>C306</t>
  </si>
  <si>
    <t>07/02/2024</t>
  </si>
  <si>
    <t>C307</t>
  </si>
  <si>
    <t>25/08/2024</t>
  </si>
  <si>
    <t>C308</t>
  </si>
  <si>
    <t>C310</t>
  </si>
  <si>
    <t>C311</t>
  </si>
  <si>
    <t>11/10/2024</t>
  </si>
  <si>
    <t>C312</t>
  </si>
  <si>
    <t>C313</t>
  </si>
  <si>
    <t>C314</t>
  </si>
  <si>
    <t>C315</t>
  </si>
  <si>
    <t>C316</t>
  </si>
  <si>
    <t>TABLA DE DATOS</t>
  </si>
  <si>
    <t>Mes</t>
  </si>
  <si>
    <t>Ventas ($)</t>
  </si>
  <si>
    <t>Enero</t>
  </si>
  <si>
    <t>Febrero</t>
  </si>
  <si>
    <t>Marzo</t>
  </si>
  <si>
    <t>Abril</t>
  </si>
  <si>
    <t>Mayo</t>
  </si>
  <si>
    <t>Junio</t>
  </si>
  <si>
    <t>A. ESTADÍSTICAS DESCRIPTIVAS</t>
  </si>
  <si>
    <t>Medida</t>
  </si>
  <si>
    <t>Fórmula (Excel español)</t>
  </si>
  <si>
    <t>Resultado</t>
  </si>
  <si>
    <t>Promedio</t>
  </si>
  <si>
    <t>=PROMEDIO(C6:C11)</t>
  </si>
  <si>
    <t>Mediana</t>
  </si>
  <si>
    <t>=MEDIANA(C6:C11)</t>
  </si>
  <si>
    <t>Desviación Estándar</t>
  </si>
  <si>
    <t>=DESVEST(C6:C11)</t>
  </si>
  <si>
    <t>Varianza</t>
  </si>
  <si>
    <t>=VAR(C6:C11)</t>
  </si>
  <si>
    <t>Mínimo</t>
  </si>
  <si>
    <t>=MIN(C6:C11)</t>
  </si>
  <si>
    <t>Máximo</t>
  </si>
  <si>
    <t>=MAX(C6:C11)</t>
  </si>
  <si>
    <t>C. MES CON MAYORES Y MENORES VENTAS</t>
  </si>
  <si>
    <t>Indicador</t>
  </si>
  <si>
    <t>Mes con MAYORES ventas</t>
  </si>
  <si>
    <t>=INDICE(B6:B11,COINCIDIR(MAX(C6:C11),C6:C11,0))</t>
  </si>
  <si>
    <t>Valor máximo ($)</t>
  </si>
  <si>
    <t>Mes con MENORES ventas</t>
  </si>
  <si>
    <t>=INDICE(B6:B11,COINCIDIR(MIN(C6:C11),C6:C11,0))</t>
  </si>
  <si>
    <t>Valor mínimo ($)</t>
  </si>
  <si>
    <t>A. Calcula el promedio, mediana y desviación estándar de las ventas.</t>
  </si>
  <si>
    <t>B. Crea un gráfico de línea que muestre la tendencia de ventas.</t>
  </si>
  <si>
    <t>Categoría</t>
  </si>
  <si>
    <t>Región</t>
  </si>
  <si>
    <t>Audífonos Bluetooth</t>
  </si>
  <si>
    <t>Tecnología</t>
  </si>
  <si>
    <t>Webcam Full HD</t>
  </si>
  <si>
    <t>PowerBank 20000mAh</t>
  </si>
  <si>
    <t>01/05/2024</t>
  </si>
  <si>
    <t>Router WiFi 6</t>
  </si>
  <si>
    <t>Xiaomi Redmi 13</t>
  </si>
  <si>
    <t>Telefonía</t>
  </si>
  <si>
    <t>Tablet Samsung</t>
  </si>
  <si>
    <t>Gabinete ATX Corsair</t>
  </si>
  <si>
    <t>Cómputo</t>
  </si>
  <si>
    <t>Soporte Monitor</t>
  </si>
  <si>
    <t>Laptop HP</t>
  </si>
  <si>
    <t>02/02/2024</t>
  </si>
  <si>
    <t>Monitor 24"</t>
  </si>
  <si>
    <t>C249</t>
  </si>
  <si>
    <t>Funda iPhone 15</t>
  </si>
  <si>
    <t>Fuente Poder 750W</t>
  </si>
  <si>
    <t>iPhone 15</t>
  </si>
  <si>
    <t>Funda Laptop 15"</t>
  </si>
  <si>
    <t>C301</t>
  </si>
  <si>
    <t>03/03/2024</t>
  </si>
  <si>
    <t>Protector Pantalla</t>
  </si>
  <si>
    <t>Disco SSD 1TB</t>
  </si>
  <si>
    <t>Tarjeta Gráfica RTX</t>
  </si>
  <si>
    <t>PC Escritorio Gamer</t>
  </si>
  <si>
    <t>Cargador Universal</t>
  </si>
  <si>
    <t>Cable USB</t>
  </si>
  <si>
    <t>Mini PC Intel NUC</t>
  </si>
  <si>
    <t>05/05/2024</t>
  </si>
  <si>
    <t>Memoria RAM 16GB</t>
  </si>
  <si>
    <t>06/02/2024</t>
  </si>
  <si>
    <t>Pad Mouse XL</t>
  </si>
  <si>
    <t>06/08/2024</t>
  </si>
  <si>
    <t>Mouse Gaming</t>
  </si>
  <si>
    <t>Monitor 27" 4K</t>
  </si>
  <si>
    <t>C289</t>
  </si>
  <si>
    <t>Laptop Dell XPS</t>
  </si>
  <si>
    <t>C091</t>
  </si>
  <si>
    <t>Huawei P60</t>
  </si>
  <si>
    <t>07/05/2024</t>
  </si>
  <si>
    <t>C058</t>
  </si>
  <si>
    <t>C245</t>
  </si>
  <si>
    <t>07/12/2024</t>
  </si>
  <si>
    <t>Hub USB-C 7 en 1</t>
  </si>
  <si>
    <t>09/04/2024</t>
  </si>
  <si>
    <t>Impresora HP</t>
  </si>
  <si>
    <t>Samsung Galaxy S24</t>
  </si>
  <si>
    <t>09/10/2024</t>
  </si>
  <si>
    <t>Organizador Cables</t>
  </si>
  <si>
    <t>11/08/2024</t>
  </si>
  <si>
    <t>C105</t>
  </si>
  <si>
    <t>12/08/2024</t>
  </si>
  <si>
    <t>C213</t>
  </si>
  <si>
    <t>C263</t>
  </si>
  <si>
    <t>14/02/2024</t>
  </si>
  <si>
    <t>15/05/2024</t>
  </si>
  <si>
    <t>15/06/2024</t>
  </si>
  <si>
    <t>C174</t>
  </si>
  <si>
    <t>C147</t>
  </si>
  <si>
    <t>C166</t>
  </si>
  <si>
    <t>Teclado Mecánico</t>
  </si>
  <si>
    <t>17/07/2024</t>
  </si>
  <si>
    <t>18/01/2024</t>
  </si>
  <si>
    <t>C034</t>
  </si>
  <si>
    <t>18/04/2024</t>
  </si>
  <si>
    <t>C158</t>
  </si>
  <si>
    <t>18/06/2024</t>
  </si>
  <si>
    <t>18/10/2024</t>
  </si>
  <si>
    <t>C007</t>
  </si>
  <si>
    <t>19/07/2024</t>
  </si>
  <si>
    <t>19/08/2024</t>
  </si>
  <si>
    <t>C062</t>
  </si>
  <si>
    <t>22/03/2024</t>
  </si>
  <si>
    <t>C294</t>
  </si>
  <si>
    <t>22/04/2024</t>
  </si>
  <si>
    <t>C250</t>
  </si>
  <si>
    <t>22/07/2024</t>
  </si>
  <si>
    <t>C223</t>
  </si>
  <si>
    <t>23/10/2024</t>
  </si>
  <si>
    <t>24/03/2024</t>
  </si>
  <si>
    <t>C309</t>
  </si>
  <si>
    <t>24/04/2024</t>
  </si>
  <si>
    <t>C305</t>
  </si>
  <si>
    <t>24/05/2024</t>
  </si>
  <si>
    <t>26/06/2024</t>
  </si>
  <si>
    <t>27/09/2024</t>
  </si>
  <si>
    <t>28/01/2024</t>
  </si>
  <si>
    <t>29/01/2024</t>
  </si>
  <si>
    <t>29/02/2024</t>
  </si>
  <si>
    <t>29/06/2024</t>
  </si>
  <si>
    <t>29/09/2024</t>
  </si>
  <si>
    <t>C051</t>
  </si>
  <si>
    <t>30/09/2024</t>
  </si>
  <si>
    <t>ID_Venta</t>
  </si>
  <si>
    <t>ID_Producto</t>
  </si>
  <si>
    <t>Cantidad</t>
  </si>
  <si>
    <t>V001</t>
  </si>
  <si>
    <t>P001</t>
  </si>
  <si>
    <t>2024-01-05</t>
  </si>
  <si>
    <t>V002</t>
  </si>
  <si>
    <t>P002</t>
  </si>
  <si>
    <t>2024-01-07</t>
  </si>
  <si>
    <t>V003</t>
  </si>
  <si>
    <t>P003</t>
  </si>
  <si>
    <t>2024-01-10</t>
  </si>
  <si>
    <t>V004</t>
  </si>
  <si>
    <t>P004</t>
  </si>
  <si>
    <t>2024-01-12</t>
  </si>
  <si>
    <t>V005</t>
  </si>
  <si>
    <t>P005</t>
  </si>
  <si>
    <t>2024-01-15</t>
  </si>
  <si>
    <t>V006</t>
  </si>
  <si>
    <t>2024-01-18</t>
  </si>
  <si>
    <t>V007</t>
  </si>
  <si>
    <t>P006</t>
  </si>
  <si>
    <t>2024-01-20</t>
  </si>
  <si>
    <t>V008</t>
  </si>
  <si>
    <t>2024-01-22</t>
  </si>
  <si>
    <t>V009</t>
  </si>
  <si>
    <t>P007</t>
  </si>
  <si>
    <t>2024-01-25</t>
  </si>
  <si>
    <t>V010</t>
  </si>
  <si>
    <t>2024-01-28</t>
  </si>
  <si>
    <t>V011</t>
  </si>
  <si>
    <t>P008</t>
  </si>
  <si>
    <t>2024-02-01</t>
  </si>
  <si>
    <t>V012</t>
  </si>
  <si>
    <t>2024-02-03</t>
  </si>
  <si>
    <t>V013</t>
  </si>
  <si>
    <t>2024-02-06</t>
  </si>
  <si>
    <t>V014</t>
  </si>
  <si>
    <t>P009</t>
  </si>
  <si>
    <t>2024-02-08</t>
  </si>
  <si>
    <t>V015</t>
  </si>
  <si>
    <t>P010</t>
  </si>
  <si>
    <t>2024-02-10</t>
  </si>
  <si>
    <t>V016</t>
  </si>
  <si>
    <t>2024-02-14</t>
  </si>
  <si>
    <t>V017</t>
  </si>
  <si>
    <t>2024-02-18</t>
  </si>
  <si>
    <t>V018</t>
  </si>
  <si>
    <t>2024-02-20</t>
  </si>
  <si>
    <t>V019</t>
  </si>
  <si>
    <t>2024-02-22</t>
  </si>
  <si>
    <t>V020</t>
  </si>
  <si>
    <t>2024-02-25</t>
  </si>
  <si>
    <t>Tabla 1: Ventas (ID_Producto, Fecha, Cantidad, Monto)</t>
  </si>
  <si>
    <t>Nombre</t>
  </si>
  <si>
    <t>Precio_Unitario</t>
  </si>
  <si>
    <t>Costo_Unitario</t>
  </si>
  <si>
    <t>Computación</t>
  </si>
  <si>
    <t>Periféricos</t>
  </si>
  <si>
    <t>Tablet Samsung Pro</t>
  </si>
  <si>
    <t>Tabla 2: Productos (ID_Producto, Nombre, Categoría, Precio_Unitario)</t>
  </si>
  <si>
    <t>¿Cómo relacionarías estas tablas en Power Pivot?</t>
  </si>
  <si>
    <t>El problema es que en Ventas solo guardas el código del producto (P001, P002...), no el nombre ni el precio. Power Pivot necesita saber cómo unirlas.</t>
  </si>
  <si>
    <t>El proceso en 3 pasos simples</t>
  </si>
  <si>
    <t>¿Qué logras con eso?</t>
  </si>
  <si>
    <t>A partir de ese momento puedes crear medidas que usen datos de las dos tablas al mismo tiempo, como calcular el margen de ganancia multiplicando la cantidad vendida (que está en Ventas) por el precio (que está en Productos).</t>
  </si>
  <si>
    <t>Margen de Ganancia</t>
  </si>
  <si>
    <r>
      <rPr>
        <b/>
        <sz val="12"/>
        <color theme="1"/>
        <rFont val="Calibri"/>
        <family val="2"/>
        <scheme val="minor"/>
      </rPr>
      <t xml:space="preserve">Ventas </t>
    </r>
    <r>
      <rPr>
        <sz val="12"/>
        <color theme="1"/>
        <rFont val="Calibri"/>
        <family val="2"/>
        <scheme val="minor"/>
      </rPr>
      <t xml:space="preserve">— cada vez que alguien compró algo </t>
    </r>
  </si>
  <si>
    <r>
      <rPr>
        <b/>
        <sz val="12"/>
        <color theme="1"/>
        <rFont val="Calibri"/>
        <family val="2"/>
        <scheme val="minor"/>
      </rPr>
      <t>Productos</t>
    </r>
    <r>
      <rPr>
        <sz val="12"/>
        <color theme="1"/>
        <rFont val="Calibri"/>
        <family val="2"/>
        <scheme val="minor"/>
      </rPr>
      <t xml:space="preserve"> — la ficha de cada producto </t>
    </r>
  </si>
  <si>
    <r>
      <t>1. Cargar las tablas</t>
    </r>
    <r>
      <rPr>
        <sz val="12"/>
        <color theme="1"/>
        <rFont val="Calibri"/>
        <family val="2"/>
        <scheme val="minor"/>
      </rPr>
      <t xml:space="preserve"> Seleccionas tu tabla de Ventas → clic en </t>
    </r>
    <r>
      <rPr>
        <i/>
        <sz val="12"/>
        <color theme="1"/>
        <rFont val="Calibri"/>
        <family val="2"/>
        <scheme val="minor"/>
      </rPr>
      <t>"Agregar al modelo de datos"</t>
    </r>
    <r>
      <rPr>
        <sz val="12"/>
        <color theme="1"/>
        <rFont val="Calibri"/>
        <family val="2"/>
        <scheme val="minor"/>
      </rPr>
      <t>. Repites con Productos.</t>
    </r>
  </si>
  <si>
    <r>
      <t>2. Ir al diagrama</t>
    </r>
    <r>
      <rPr>
        <sz val="12"/>
        <color theme="1"/>
        <rFont val="Calibri"/>
        <family val="2"/>
        <scheme val="minor"/>
      </rPr>
      <t xml:space="preserve"> Dentro de Power Pivot, cambias a </t>
    </r>
    <r>
      <rPr>
        <i/>
        <sz val="12"/>
        <color theme="1"/>
        <rFont val="Calibri"/>
        <family val="2"/>
        <scheme val="minor"/>
      </rPr>
      <t>"Vista de diagrama"</t>
    </r>
    <r>
      <rPr>
        <sz val="12"/>
        <color theme="1"/>
        <rFont val="Calibri"/>
        <family val="2"/>
        <scheme val="minor"/>
      </rPr>
      <t xml:space="preserve"> y ves las dos tablas como cajitas.</t>
    </r>
  </si>
  <si>
    <r>
      <t xml:space="preserve">Medida DAX </t>
    </r>
    <r>
      <rPr>
        <sz val="12"/>
        <color theme="1"/>
        <rFont val="Calibri"/>
        <family val="2"/>
        <scheme val="minor"/>
      </rPr>
      <t>(referencia, ya que mi Mac no tiene Power Pivot):</t>
    </r>
  </si>
  <si>
    <r>
      <rPr>
        <b/>
        <sz val="12"/>
        <color theme="1"/>
        <rFont val="Calibri"/>
        <family val="2"/>
        <scheme val="minor"/>
      </rPr>
      <t>Margen de Ganancia =</t>
    </r>
    <r>
      <rPr>
        <sz val="12"/>
        <color theme="1"/>
        <rFont val="Calibri"/>
        <family val="2"/>
        <scheme val="minor"/>
      </rPr>
      <t xml:space="preserve"> DIVIDE(SUM(Ventas[Monto]) - SUM(Ventas[Cantidad] * Productos[Costo_Unitario]), SUM(Ventas[Monto]))</t>
    </r>
  </si>
  <si>
    <r>
      <t>3. Arrastrar el campo en común</t>
    </r>
    <r>
      <rPr>
        <sz val="12"/>
        <color theme="1"/>
        <rFont val="Calibri"/>
        <family val="2"/>
        <scheme val="minor"/>
      </rPr>
      <t xml:space="preserve"> Tomas ID_Producto de la tabla Ventas y lo arrastras encima de ID_Producto de Productos. Se dibuja una línea entre las dos tablas. Eso es todo.</t>
    </r>
  </si>
  <si>
    <r>
      <t xml:space="preserve">Que Power Pivot sepa que cuando ve </t>
    </r>
    <r>
      <rPr>
        <sz val="12"/>
        <color theme="1"/>
        <rFont val="Calibri"/>
        <family val="2"/>
        <scheme val="minor"/>
      </rPr>
      <t>P001 en Ventas, debe ir a buscar el nombre, la categoría y el precio a la tabla Productos. Sin necesidad de escribir ningún VLOOKUP.</t>
    </r>
  </si>
  <si>
    <t>Etapa</t>
  </si>
  <si>
    <t>Datos → Desde Texto/CSV</t>
  </si>
  <si>
    <t>Objetivo</t>
  </si>
  <si>
    <t>Herramientas / Tecnicas</t>
  </si>
  <si>
    <t>Acciones Claves</t>
  </si>
  <si>
    <t>1. Recopilación</t>
  </si>
  <si>
    <t>Entender los datos crudos</t>
  </si>
  <si>
    <t>Importar CSV, revisar estructura (316 filas, 7 columnas), identificar problemas de calidad.</t>
  </si>
  <si>
    <t>2. Limpieza</t>
  </si>
  <si>
    <t>Corregir inconsistencias</t>
  </si>
  <si>
    <t>Eliminar duplicados, unificar fechas, corregir tipeo, manejar celdas vacías.</t>
  </si>
  <si>
    <t>Quitar Duplicados, Texto en Columnas, NOMPROPIO</t>
  </si>
  <si>
    <t>3. Análisis</t>
  </si>
  <si>
    <t>Descubrir patrones</t>
  </si>
  <si>
    <t>Tablas dinámicas por mes/categoría/región, KPIs, gráfico de tendencia.</t>
  </si>
  <si>
    <t>4. Comunicación</t>
  </si>
  <si>
    <t>Informar decisiones</t>
  </si>
  <si>
    <t>Crear dashboard con conclusiones accionables para el negocio.</t>
  </si>
  <si>
    <t>Excel + Gráficos, Reporte</t>
  </si>
  <si>
    <t>Parte B: 4 Técnicas de Limpieza Aplicadas</t>
  </si>
  <si>
    <t>#</t>
  </si>
  <si>
    <t>Problema Detectado</t>
  </si>
  <si>
    <t>Técnica de Excel</t>
  </si>
  <si>
    <t>Filas duplicadas (mismo producto, fecha y monto)</t>
  </si>
  <si>
    <t>Se eliminaron registros duplicados.</t>
  </si>
  <si>
    <t>Fechas en 3 formatos (DD/MM/AAAA, DD-MM-AAAA, MM/DD/AAAA)</t>
  </si>
  <si>
    <t>Texto en Columnas + FECHA()</t>
  </si>
  <si>
    <t>Unificación a formato único DD/MM/AAAA.</t>
  </si>
  <si>
    <t>Errores de tipeo y mayúsculas inconsistentes</t>
  </si>
  <si>
    <t>NOMPROPIO() + Buscar/Reemplazar</t>
  </si>
  <si>
    <t>Normalización de nombres de productos y categorías.</t>
  </si>
  <si>
    <t>Celdas vacías en Producto, Región y Stock</t>
  </si>
  <si>
    <t>Ir a Especial → Celdas en blanco</t>
  </si>
  <si>
    <t>Completar o eliminar registros incompletos.</t>
  </si>
  <si>
    <r>
      <t>Quitar Duplicados</t>
    </r>
    <r>
      <rPr>
        <sz val="12"/>
        <color theme="1"/>
        <rFont val="Calibri"/>
        <family val="2"/>
        <scheme val="minor"/>
      </rPr>
      <t> (Datos)</t>
    </r>
  </si>
  <si>
    <t>Parte A: Las 4 Etapas del Análisis de Datos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</si>
</sst>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2" formatCode="_ &quot;$&quot;* #,##0_ ;_ &quot;$&quot;* \-#,##0_ ;_ &quot;$&quot;* &quot;-&quot;_ ;_ @_ "/>
    <numFmt numFmtId="164" formatCode="dd/mm/yyyy"/>
    <numFmt numFmtId="165" formatCode="\$#,##0.00"/>
    <numFmt numFmtId="166" formatCode="&quot;$&quot;#,##0.00"/>
  </numFmts>
  <fonts count="11" x14ac:knownFonts="1">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b/>
      <sz val="11"/>
      <color theme="1"/>
      <name val="Arial"/>
    </font>
    <font>
      <sz val="10"/>
      <name val="Arial"/>
    </font>
    <font>
      <i/>
      <sz val="12"/>
      <color theme="1"/>
      <name val="Calibri"/>
      <family val="2"/>
      <scheme val="minor"/>
    </font>
    <font>
      <sz val="12"/>
      <color rgb="FF000000"/>
      <name val="Calibri"/>
      <family val="2"/>
      <scheme val="minor"/>
    </font>
    <font>
      <sz val="12"/>
      <color theme="1"/>
      <name val="Calibri"/>
      <scheme val="minor"/>
    </font>
  </fonts>
  <fills count="13">
    <fill>
      <patternFill patternType="none"/>
    </fill>
    <fill>
      <patternFill patternType="gray125"/>
    </fill>
    <fill>
      <patternFill patternType="solid">
        <fgColor theme="0"/>
        <bgColor indexed="64"/>
      </patternFill>
    </fill>
    <fill>
      <patternFill patternType="solid">
        <fgColor theme="0"/>
        <bgColor rgb="FF0066CC"/>
      </patternFill>
    </fill>
    <fill>
      <patternFill patternType="solid">
        <fgColor theme="0"/>
        <bgColor rgb="FFFEF9E7"/>
      </patternFill>
    </fill>
    <fill>
      <patternFill patternType="solid">
        <fgColor theme="0"/>
        <bgColor rgb="FFD9D9D9"/>
      </patternFill>
    </fill>
    <fill>
      <patternFill patternType="solid">
        <fgColor theme="0"/>
        <bgColor rgb="FF008080"/>
      </patternFill>
    </fill>
    <fill>
      <patternFill patternType="solid">
        <fgColor theme="0"/>
        <bgColor rgb="FFD6E4F0"/>
      </patternFill>
    </fill>
    <fill>
      <patternFill patternType="solid">
        <fgColor theme="0"/>
        <bgColor rgb="FFFFFFFF"/>
      </patternFill>
    </fill>
    <fill>
      <patternFill patternType="solid">
        <fgColor rgb="FFFFFFFF"/>
        <bgColor rgb="FF000000"/>
      </patternFill>
    </fill>
    <fill>
      <patternFill patternType="solid">
        <fgColor theme="0"/>
        <bgColor rgb="FFEAF2FB"/>
      </patternFill>
    </fill>
    <fill>
      <patternFill patternType="solid">
        <fgColor theme="0"/>
        <bgColor theme="1"/>
      </patternFill>
    </fill>
    <fill>
      <patternFill patternType="solid">
        <fgColor theme="0"/>
        <bgColor rgb="FF1F38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medium">
        <color rgb="FF1F3864"/>
      </left>
      <right style="medium">
        <color rgb="FF1F3864"/>
      </right>
      <top style="medium">
        <color rgb="FF1F3864"/>
      </top>
      <bottom style="medium">
        <color rgb="FF1F38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theme="1"/>
      </left>
      <right style="thin">
        <color theme="1"/>
      </right>
      <top style="thin">
        <color theme="1"/>
      </top>
      <bottom style="thin">
        <color theme="1"/>
      </bottom>
      <diagonal/>
    </border>
  </borders>
  <cellStyleXfs count="8">
    <xf numFmtId="0" fontId="0" fillId="0" borderId="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42" fontId="2" fillId="0" borderId="0" applyFont="0" applyFill="0" applyBorder="0" applyAlignment="0" applyProtection="0"/>
  </cellStyleXfs>
  <cellXfs count="61">
    <xf numFmtId="0" fontId="0" fillId="0" borderId="0" xfId="0"/>
    <xf numFmtId="0" fontId="0" fillId="2" borderId="0" xfId="0" applyFont="1" applyFill="1"/>
    <xf numFmtId="0" fontId="3" fillId="2" borderId="0" xfId="0" applyFont="1" applyFill="1"/>
    <xf numFmtId="0" fontId="0" fillId="2" borderId="0" xfId="0" applyFill="1"/>
    <xf numFmtId="0" fontId="3" fillId="0" borderId="0" xfId="0" applyFont="1"/>
    <xf numFmtId="0" fontId="6" fillId="2" borderId="2" xfId="0" applyFont="1" applyFill="1" applyBorder="1" applyAlignment="1">
      <alignment horizontal="center" vertical="center"/>
    </xf>
    <xf numFmtId="0" fontId="7" fillId="2" borderId="3" xfId="0" applyFont="1" applyFill="1" applyBorder="1" applyAlignment="1">
      <alignment horizontal="center"/>
    </xf>
    <xf numFmtId="0" fontId="7" fillId="2" borderId="3" xfId="0" applyFont="1" applyFill="1" applyBorder="1" applyAlignment="1">
      <alignment horizontal="left"/>
    </xf>
    <xf numFmtId="4" fontId="7" fillId="2" borderId="3" xfId="0" applyNumberFormat="1" applyFont="1" applyFill="1" applyBorder="1" applyAlignment="1">
      <alignment horizontal="right"/>
    </xf>
    <xf numFmtId="3" fontId="7" fillId="2" borderId="3" xfId="0" applyNumberFormat="1" applyFont="1" applyFill="1" applyBorder="1" applyAlignment="1">
      <alignment horizontal="right"/>
    </xf>
    <xf numFmtId="0" fontId="7" fillId="9" borderId="3" xfId="0" applyFont="1" applyFill="1" applyBorder="1" applyAlignment="1">
      <alignment horizontal="left"/>
    </xf>
    <xf numFmtId="0" fontId="0" fillId="2" borderId="0" xfId="0" applyFont="1" applyFill="1" applyBorder="1" applyAlignment="1"/>
    <xf numFmtId="0" fontId="3" fillId="2" borderId="0" xfId="0" applyFont="1" applyFill="1" applyBorder="1" applyAlignment="1"/>
    <xf numFmtId="0" fontId="0" fillId="0" borderId="0" xfId="0" applyFont="1"/>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4" borderId="1" xfId="0" applyFont="1" applyFill="1" applyBorder="1" applyAlignment="1">
      <alignment horizontal="center" vertical="center" wrapText="1"/>
    </xf>
    <xf numFmtId="3" fontId="0" fillId="4" borderId="1" xfId="0" applyNumberFormat="1" applyFont="1" applyFill="1" applyBorder="1" applyAlignment="1">
      <alignment horizontal="center" vertical="center" wrapText="1"/>
    </xf>
    <xf numFmtId="0" fontId="0" fillId="5" borderId="1" xfId="0" applyFont="1" applyFill="1" applyBorder="1" applyAlignment="1">
      <alignment horizontal="center" vertical="center" wrapText="1"/>
    </xf>
    <xf numFmtId="3" fontId="0" fillId="5" borderId="1" xfId="0" applyNumberFormat="1" applyFont="1" applyFill="1" applyBorder="1" applyAlignment="1">
      <alignment horizontal="center" vertical="center" wrapText="1"/>
    </xf>
    <xf numFmtId="0" fontId="9" fillId="4" borderId="1" xfId="0" applyFont="1" applyFill="1" applyBorder="1" applyAlignment="1">
      <alignment horizontal="center" vertical="center" wrapText="1"/>
    </xf>
    <xf numFmtId="3" fontId="9" fillId="4" borderId="1" xfId="0" applyNumberFormat="1" applyFont="1" applyFill="1" applyBorder="1" applyAlignment="1">
      <alignment horizontal="center" vertical="center" wrapText="1"/>
    </xf>
    <xf numFmtId="0" fontId="9" fillId="5" borderId="1" xfId="0" applyFont="1" applyFill="1" applyBorder="1" applyAlignment="1">
      <alignment horizontal="center" vertical="center" wrapText="1"/>
    </xf>
    <xf numFmtId="3" fontId="9" fillId="5" borderId="1" xfId="0" applyNumberFormat="1"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4" borderId="1" xfId="0" applyFont="1" applyFill="1" applyBorder="1" applyAlignment="1">
      <alignment horizontal="left" vertical="center"/>
    </xf>
    <xf numFmtId="0" fontId="8" fillId="4" borderId="1" xfId="0" applyFont="1" applyFill="1" applyBorder="1" applyAlignment="1">
      <alignment horizontal="center" vertical="center" wrapText="1"/>
    </xf>
    <xf numFmtId="4" fontId="3" fillId="4" borderId="1" xfId="0" applyNumberFormat="1" applyFont="1" applyFill="1" applyBorder="1" applyAlignment="1">
      <alignment horizontal="center" vertical="center" wrapText="1"/>
    </xf>
    <xf numFmtId="0" fontId="3" fillId="7" borderId="1" xfId="0" applyFont="1" applyFill="1" applyBorder="1" applyAlignment="1">
      <alignment horizontal="left" vertical="center"/>
    </xf>
    <xf numFmtId="0" fontId="8" fillId="7" borderId="1" xfId="0" applyFont="1" applyFill="1" applyBorder="1" applyAlignment="1">
      <alignment horizontal="center" vertical="center" wrapText="1"/>
    </xf>
    <xf numFmtId="4" fontId="3" fillId="7" borderId="1" xfId="0" applyNumberFormat="1" applyFont="1" applyFill="1" applyBorder="1" applyAlignment="1">
      <alignment horizontal="center" vertical="center" wrapText="1"/>
    </xf>
    <xf numFmtId="0" fontId="3" fillId="8" borderId="1" xfId="0" applyFont="1" applyFill="1" applyBorder="1" applyAlignment="1">
      <alignment horizontal="left" vertical="center"/>
    </xf>
    <xf numFmtId="0" fontId="8" fillId="8" borderId="1" xfId="0" applyFont="1" applyFill="1" applyBorder="1" applyAlignment="1">
      <alignment horizontal="center" vertical="center" wrapText="1"/>
    </xf>
    <xf numFmtId="49" fontId="3" fillId="8" borderId="1" xfId="0" applyNumberFormat="1" applyFont="1" applyFill="1" applyBorder="1" applyAlignment="1">
      <alignment horizontal="center" vertical="center" wrapText="1"/>
    </xf>
    <xf numFmtId="3" fontId="3" fillId="8" borderId="1" xfId="0" applyNumberFormat="1" applyFont="1" applyFill="1" applyBorder="1" applyAlignment="1">
      <alignment horizontal="center" vertical="center" wrapText="1"/>
    </xf>
    <xf numFmtId="0" fontId="3" fillId="5" borderId="1" xfId="0" applyFont="1" applyFill="1" applyBorder="1" applyAlignment="1">
      <alignment horizontal="left" vertical="center"/>
    </xf>
    <xf numFmtId="0" fontId="8" fillId="5" borderId="1" xfId="0" applyFont="1" applyFill="1" applyBorder="1" applyAlignment="1">
      <alignment horizontal="center" vertical="center" wrapText="1"/>
    </xf>
    <xf numFmtId="49" fontId="3" fillId="5" borderId="1" xfId="0" applyNumberFormat="1" applyFont="1" applyFill="1" applyBorder="1" applyAlignment="1">
      <alignment horizontal="center" vertical="center" wrapText="1"/>
    </xf>
    <xf numFmtId="3" fontId="3" fillId="5" borderId="1" xfId="0" applyNumberFormat="1" applyFont="1" applyFill="1" applyBorder="1" applyAlignment="1">
      <alignment horizontal="center" vertical="center" wrapText="1"/>
    </xf>
    <xf numFmtId="166" fontId="3" fillId="2" borderId="0" xfId="0" applyNumberFormat="1" applyFont="1" applyFill="1" applyBorder="1" applyAlignment="1"/>
    <xf numFmtId="0" fontId="3" fillId="11" borderId="4" xfId="0" applyFont="1" applyFill="1" applyBorder="1" applyAlignment="1">
      <alignment horizontal="center" vertical="center"/>
    </xf>
    <xf numFmtId="166" fontId="3" fillId="11" borderId="4" xfId="0" applyNumberFormat="1" applyFont="1" applyFill="1" applyBorder="1" applyAlignment="1">
      <alignment horizontal="center" vertical="center"/>
    </xf>
    <xf numFmtId="0" fontId="0" fillId="11" borderId="4" xfId="0" applyFont="1" applyFill="1" applyBorder="1" applyAlignment="1">
      <alignment horizontal="center" vertical="center"/>
    </xf>
    <xf numFmtId="164" fontId="0" fillId="11" borderId="4" xfId="0" applyNumberFormat="1" applyFont="1" applyFill="1" applyBorder="1" applyAlignment="1">
      <alignment horizontal="center" vertical="center"/>
    </xf>
    <xf numFmtId="3" fontId="0" fillId="11" borderId="4" xfId="0" applyNumberFormat="1" applyFont="1" applyFill="1" applyBorder="1" applyAlignment="1">
      <alignment horizontal="right" vertical="center"/>
    </xf>
    <xf numFmtId="165" fontId="0" fillId="11" borderId="4" xfId="0" applyNumberFormat="1" applyFont="1" applyFill="1" applyBorder="1" applyAlignment="1">
      <alignment horizontal="right" vertical="center"/>
    </xf>
    <xf numFmtId="166" fontId="0" fillId="0" borderId="4" xfId="7" applyNumberFormat="1" applyFont="1" applyBorder="1" applyAlignment="1">
      <alignment horizontal="right"/>
    </xf>
    <xf numFmtId="0" fontId="3" fillId="12" borderId="5" xfId="0" applyFont="1" applyFill="1" applyBorder="1" applyAlignment="1">
      <alignment horizontal="center" vertical="center"/>
    </xf>
    <xf numFmtId="166" fontId="0" fillId="2" borderId="0" xfId="0" applyNumberFormat="1" applyFont="1" applyFill="1" applyBorder="1" applyAlignment="1"/>
    <xf numFmtId="0" fontId="0" fillId="10" borderId="5" xfId="0" applyFont="1" applyFill="1" applyBorder="1" applyAlignment="1">
      <alignment horizontal="left" vertical="center"/>
    </xf>
    <xf numFmtId="165" fontId="0" fillId="10" borderId="5" xfId="0" applyNumberFormat="1" applyFont="1" applyFill="1" applyBorder="1" applyAlignment="1">
      <alignment horizontal="right" vertical="center"/>
    </xf>
    <xf numFmtId="0" fontId="0" fillId="0" borderId="0" xfId="0" applyFont="1" applyAlignment="1">
      <alignment vertical="top"/>
    </xf>
    <xf numFmtId="0" fontId="0" fillId="0" borderId="0" xfId="0" applyFont="1" applyAlignment="1">
      <alignment vertical="top" wrapText="1"/>
    </xf>
    <xf numFmtId="0" fontId="10" fillId="0" borderId="0" xfId="0" applyFont="1" applyAlignment="1">
      <alignment vertical="top"/>
    </xf>
    <xf numFmtId="0" fontId="0" fillId="0" borderId="0" xfId="0" applyFont="1" applyAlignment="1">
      <alignment horizontal="left" vertical="top"/>
    </xf>
    <xf numFmtId="0" fontId="3" fillId="0" borderId="0" xfId="0" applyFont="1" applyAlignment="1">
      <alignment horizontal="left" vertical="top"/>
    </xf>
    <xf numFmtId="0" fontId="10" fillId="0" borderId="0" xfId="0" applyFont="1" applyAlignment="1">
      <alignment horizontal="left" vertical="top"/>
    </xf>
    <xf numFmtId="0" fontId="0" fillId="0" borderId="0" xfId="0" applyFont="1" applyAlignment="1">
      <alignment horizontal="left" vertical="top" wrapText="1"/>
    </xf>
    <xf numFmtId="0" fontId="10" fillId="0" borderId="0" xfId="0" applyFont="1" applyAlignment="1">
      <alignment horizontal="left" vertical="top" wrapText="1"/>
    </xf>
    <xf numFmtId="0" fontId="0" fillId="2" borderId="0" xfId="0" applyFont="1" applyFill="1" applyAlignment="1">
      <alignment vertical="top"/>
    </xf>
    <xf numFmtId="0" fontId="3" fillId="2" borderId="0" xfId="0" applyFont="1" applyFill="1" applyAlignment="1">
      <alignment vertical="top"/>
    </xf>
  </cellXfs>
  <cellStyles count="8">
    <cellStyle name="Hipervínculo" xfId="1" builtinId="8" hidden="1"/>
    <cellStyle name="Hipervínculo" xfId="3" builtinId="8" hidden="1"/>
    <cellStyle name="Hipervínculo" xfId="5" builtinId="8" hidden="1"/>
    <cellStyle name="Hipervínculo visitado" xfId="2" builtinId="9" hidden="1"/>
    <cellStyle name="Hipervínculo visitado" xfId="4" builtinId="9" hidden="1"/>
    <cellStyle name="Hipervínculo visitado" xfId="6" builtinId="9" hidden="1"/>
    <cellStyle name="Moneda [0]" xfId="7" builtinId="7"/>
    <cellStyle name="Normal" xfId="0" builtinId="0"/>
  </cellStyles>
  <dxfs count="12">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val="0"/>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b/>
        <i val="0"/>
        <strike val="0"/>
        <condense val="0"/>
        <extend val="0"/>
        <outline val="0"/>
        <shadow val="0"/>
        <u val="none"/>
        <vertAlign val="baseline"/>
        <sz val="12"/>
        <color theme="1"/>
        <name val="Calibri"/>
        <scheme val="minor"/>
      </font>
      <alignment horizontal="left" vertical="top" textRotation="0" wrapText="0" indent="0" justifyLastLine="0" shrinkToFit="0" readingOrder="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sz val="12"/>
        <color theme="1"/>
        <name val="Calibri"/>
        <scheme val="minor"/>
      </font>
      <alignment horizontal="general" vertical="top" textRotation="0" justifyLastLine="0" shrinkToFit="0"/>
    </dxf>
    <dxf>
      <font>
        <strike val="0"/>
        <outline val="0"/>
        <shadow val="0"/>
        <u val="none"/>
        <vertAlign val="baseline"/>
        <name val="Calibri"/>
        <scheme val="minor"/>
      </font>
      <alignment vertical="top" textRotation="0" justifyLastLine="0" shrinkToFit="0"/>
    </dxf>
  </dxfs>
  <tableStyles count="0" defaultTableStyle="TableStyleMedium9" defaultPivotStyle="PivotStyleMedium7"/>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externalLink" Target="externalLinks/externalLink1.xml"/><Relationship Id="rId6" Type="http://schemas.openxmlformats.org/officeDocument/2006/relationships/theme" Target="theme/theme1.xml"/><Relationship Id="rId7" Type="http://schemas.openxmlformats.org/officeDocument/2006/relationships/connections" Target="connections.xml"/><Relationship Id="rId8" Type="http://schemas.openxmlformats.org/officeDocument/2006/relationships/styles" Target="styles.xml"/><Relationship Id="rId9" Type="http://schemas.openxmlformats.org/officeDocument/2006/relationships/sharedStrings" Target="sharedStrings.xml"/><Relationship Id="rId10" Type="http://schemas.openxmlformats.org/officeDocument/2006/relationships/calcChain" Target="calcChain.xml"/><Relationship Id="rId1" Type="http://schemas.openxmlformats.org/officeDocument/2006/relationships/worksheet" Target="worksheets/sheet1.xml"/><Relationship Id="rId2" Type="http://schemas.openxmlformats.org/officeDocument/2006/relationships/worksheet" Target="worksheets/sheet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s-CL"/>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rot="0"/>
          <a:lstStyle/>
          <a:p>
            <a:pPr>
              <a:defRPr sz="1600" b="1" strike="noStrike" spc="-1">
                <a:solidFill>
                  <a:srgbClr val="000000"/>
                </a:solidFill>
                <a:latin typeface="Calibri"/>
              </a:defRPr>
            </a:pPr>
            <a:r>
              <a:rPr lang="es-ES_tradnl" sz="1600" b="1" strike="noStrike" spc="-1">
                <a:solidFill>
                  <a:srgbClr val="000000"/>
                </a:solidFill>
                <a:latin typeface="Calibri"/>
              </a:rPr>
              <a:t>Tendencia de Ventas Mensuales</a:t>
            </a:r>
          </a:p>
        </c:rich>
      </c:tx>
      <c:layout>
        <c:manualLayout>
          <c:xMode val="edge"/>
          <c:yMode val="edge"/>
          <c:x val="0.28850644140848"/>
          <c:y val="0.0484492427421508"/>
        </c:manualLayout>
      </c:layout>
      <c:overlay val="0"/>
      <c:spPr>
        <a:noFill/>
        <a:ln w="0">
          <a:noFill/>
        </a:ln>
      </c:spPr>
    </c:title>
    <c:autoTitleDeleted val="0"/>
    <c:plotArea>
      <c:layout/>
      <c:lineChart>
        <c:grouping val="standard"/>
        <c:varyColors val="0"/>
        <c:ser>
          <c:idx val="0"/>
          <c:order val="0"/>
          <c:tx>
            <c:strRef>
              <c:f>'[1]B. Gráfico de Tendencia'!$C$3</c:f>
              <c:strCache>
                <c:ptCount val="1"/>
                <c:pt idx="0">
                  <c:v>Ventas ($)</c:v>
                </c:pt>
              </c:strCache>
            </c:strRef>
          </c:tx>
          <c:spPr>
            <a:ln w="24840">
              <a:solidFill>
                <a:srgbClr val="2E75B6"/>
              </a:solidFill>
              <a:round/>
            </a:ln>
          </c:spPr>
          <c:marker>
            <c:symbol val="circle"/>
            <c:size val="8"/>
            <c:spPr>
              <a:solidFill>
                <a:srgbClr val="2E75B6"/>
              </a:solidFill>
            </c:spPr>
          </c:marker>
          <c:dLbls>
            <c:spPr>
              <a:noFill/>
              <a:ln>
                <a:noFill/>
              </a:ln>
              <a:effectLst/>
            </c:spPr>
            <c:txPr>
              <a:bodyPr wrap="none"/>
              <a:lstStyle/>
              <a:p>
                <a:pPr>
                  <a:defRPr sz="1000" b="0" strike="noStrike" spc="-1">
                    <a:latin typeface="Arial"/>
                  </a:defRPr>
                </a:pPr>
                <a:endParaRPr lang="es-ES_tradn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'[1]B. Gráfico de Tendencia'!$B$4:$B$9</c:f>
              <c:strCache>
                <c:ptCount val="6"/>
                <c:pt idx="0">
                  <c:v>Enero</c:v>
                </c:pt>
                <c:pt idx="1">
                  <c:v>Febrero</c:v>
                </c:pt>
                <c:pt idx="2">
                  <c:v>Marzo</c:v>
                </c:pt>
                <c:pt idx="3">
                  <c:v>Abril</c:v>
                </c:pt>
                <c:pt idx="4">
                  <c:v>Mayo</c:v>
                </c:pt>
                <c:pt idx="5">
                  <c:v>Junio</c:v>
                </c:pt>
              </c:strCache>
            </c:strRef>
          </c:cat>
          <c:val>
            <c:numRef>
              <c:f>'[1]B. Gráfico de Tendencia'!$C$4:$C$9</c:f>
              <c:numCache>
                <c:formatCode>General</c:formatCode>
                <c:ptCount val="6"/>
                <c:pt idx="0">
                  <c:v>12500.0</c:v>
                </c:pt>
                <c:pt idx="1">
                  <c:v>13200.0</c:v>
                </c:pt>
                <c:pt idx="2">
                  <c:v>11800.0</c:v>
                </c:pt>
                <c:pt idx="3">
                  <c:v>14500.0</c:v>
                </c:pt>
                <c:pt idx="4">
                  <c:v>15200.0</c:v>
                </c:pt>
                <c:pt idx="5">
                  <c:v>14800.0</c:v>
                </c:pt>
              </c:numCache>
            </c:numRef>
          </c:val>
          <c:smooth val="1"/>
        </c:ser>
        <c:dLbls>
          <c:showLegendKey val="0"/>
          <c:showVal val="0"/>
          <c:showCatName val="0"/>
          <c:showSerName val="0"/>
          <c:showPercent val="0"/>
          <c:showBubbleSize val="0"/>
        </c:dLbls>
        <c:hiLowLines>
          <c:spPr>
            <a:ln w="0">
              <a:noFill/>
            </a:ln>
          </c:spPr>
        </c:hiLowLines>
        <c:marker val="1"/>
        <c:smooth val="0"/>
        <c:axId val="-2110576160"/>
        <c:axId val="-2110570336"/>
      </c:lineChart>
      <c:catAx>
        <c:axId val="-2110576160"/>
        <c:scaling>
          <c:orientation val="minMax"/>
        </c:scaling>
        <c:delete val="0"/>
        <c:axPos val="b"/>
        <c:title>
          <c:tx>
            <c:rich>
              <a:bodyPr rot="0"/>
              <a:lstStyle/>
              <a:p>
                <a:pPr>
                  <a:defRPr sz="1200" b="1" strike="noStrike" spc="-1">
                    <a:solidFill>
                      <a:srgbClr val="000000"/>
                    </a:solidFill>
                    <a:latin typeface="Calibri"/>
                  </a:defRPr>
                </a:pPr>
                <a:r>
                  <a:rPr lang="es-ES_tradnl" sz="1200" b="1" strike="noStrike" spc="-1">
                    <a:solidFill>
                      <a:srgbClr val="000000"/>
                    </a:solidFill>
                    <a:latin typeface="Calibri"/>
                  </a:rPr>
                  <a:t>Mes</a:t>
                </a:r>
              </a:p>
            </c:rich>
          </c:tx>
          <c:layout/>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ES_tradnl"/>
          </a:p>
        </c:txPr>
        <c:crossAx val="-2110570336"/>
        <c:crosses val="autoZero"/>
        <c:auto val="1"/>
        <c:lblAlgn val="ctr"/>
        <c:lblOffset val="100"/>
        <c:noMultiLvlLbl val="0"/>
      </c:catAx>
      <c:valAx>
        <c:axId val="-2110570336"/>
        <c:scaling>
          <c:orientation val="minMax"/>
        </c:scaling>
        <c:delete val="0"/>
        <c:axPos val="l"/>
        <c:majorGridlines>
          <c:spPr>
            <a:ln w="9360">
              <a:noFill/>
              <a:round/>
            </a:ln>
          </c:spPr>
        </c:majorGridlines>
        <c:title>
          <c:tx>
            <c:rich>
              <a:bodyPr rot="-5400000"/>
              <a:lstStyle/>
              <a:p>
                <a:pPr>
                  <a:defRPr sz="1200" b="1" strike="noStrike" spc="-1">
                    <a:solidFill>
                      <a:srgbClr val="000000"/>
                    </a:solidFill>
                    <a:latin typeface="Calibri"/>
                  </a:defRPr>
                </a:pPr>
                <a:r>
                  <a:rPr lang="es-ES_tradnl" sz="1200" b="1" strike="noStrike" spc="-1">
                    <a:solidFill>
                      <a:srgbClr val="000000"/>
                    </a:solidFill>
                    <a:latin typeface="Calibri"/>
                  </a:rPr>
                  <a:t>Ventas ($)</a:t>
                </a:r>
              </a:p>
            </c:rich>
          </c:tx>
          <c:layout/>
          <c:overlay val="0"/>
          <c:spPr>
            <a:noFill/>
            <a:ln w="0">
              <a:noFill/>
            </a:ln>
          </c:spPr>
        </c:title>
        <c:numFmt formatCode="General" sourceLinked="1"/>
        <c:majorTickMark val="out"/>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ES_tradnl"/>
          </a:p>
        </c:txPr>
        <c:crossAx val="-2110576160"/>
        <c:crosses val="autoZero"/>
        <c:crossBetween val="between"/>
        <c:majorUnit val="4000.0"/>
        <c:minorUnit val="400.0"/>
      </c:valAx>
      <c:spPr>
        <a:noFill/>
        <a:ln w="0">
          <a:noFill/>
        </a:ln>
      </c:spPr>
    </c:plotArea>
    <c:legend>
      <c:legendPos val="b"/>
      <c:layout/>
      <c:overlay val="0"/>
      <c:spPr>
        <a:noFill/>
        <a:ln w="0">
          <a:noFill/>
        </a:ln>
      </c:spPr>
      <c:txPr>
        <a:bodyPr/>
        <a:lstStyle/>
        <a:p>
          <a:pPr>
            <a:defRPr sz="1400" b="1" strike="noStrike" spc="-1">
              <a:solidFill>
                <a:srgbClr val="000000"/>
              </a:solidFill>
              <a:latin typeface="Calibri"/>
            </a:defRPr>
          </a:pPr>
          <a:endParaRPr lang="es-ES_tradnl"/>
        </a:p>
      </c:txPr>
    </c:legend>
    <c:plotVisOnly val="1"/>
    <c:dispBlanksAs val="gap"/>
    <c:showDLblsOverMax val="1"/>
  </c:chart>
  <c:spPr>
    <a:noFill/>
    <a:ln w="9360">
      <a:no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67027</xdr:colOff>
      <xdr:row>14</xdr:row>
      <xdr:rowOff>28222</xdr:rowOff>
    </xdr:from>
    <xdr:to>
      <xdr:col>11</xdr:col>
      <xdr:colOff>409222</xdr:colOff>
      <xdr:row>37</xdr:row>
      <xdr:rowOff>28221</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violeta/Downloads/Pregunta2_Analisis_Vent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álisis de Ventas"/>
      <sheetName val="B. Gráfico de Tendencia"/>
      <sheetName val="D. Crecimiento Mes a Mes"/>
    </sheetNames>
    <sheetDataSet>
      <sheetData sheetId="0"/>
      <sheetData sheetId="1">
        <row r="3">
          <cell r="C3" t="str">
            <v>Ventas ($)</v>
          </cell>
        </row>
        <row r="4">
          <cell r="B4" t="str">
            <v>Enero</v>
          </cell>
          <cell r="C4">
            <v>12500</v>
          </cell>
        </row>
        <row r="5">
          <cell r="B5" t="str">
            <v>Febrero</v>
          </cell>
          <cell r="C5">
            <v>13200</v>
          </cell>
        </row>
        <row r="6">
          <cell r="B6" t="str">
            <v>Marzo</v>
          </cell>
          <cell r="C6">
            <v>11800</v>
          </cell>
        </row>
        <row r="7">
          <cell r="B7" t="str">
            <v>Abril</v>
          </cell>
          <cell r="C7">
            <v>14500</v>
          </cell>
        </row>
        <row r="8">
          <cell r="B8" t="str">
            <v>Mayo</v>
          </cell>
          <cell r="C8">
            <v>15200</v>
          </cell>
        </row>
        <row r="9">
          <cell r="B9" t="str">
            <v>Junio</v>
          </cell>
          <cell r="C9">
            <v>14800</v>
          </cell>
        </row>
      </sheetData>
      <sheetData sheetId="2"/>
    </sheetDataSet>
  </externalBook>
</externalLink>
</file>

<file path=xl/tables/table1.xml><?xml version="1.0" encoding="utf-8"?>
<table xmlns="http://schemas.openxmlformats.org/spreadsheetml/2006/main" id="6" name="Tabla6" displayName="Tabla6" ref="B4:E8" totalsRowShown="0" headerRowDxfId="11" dataDxfId="10">
  <autoFilter ref="B4:E8"/>
  <tableColumns count="4">
    <tableColumn id="1" name="Etapa" dataDxfId="9"/>
    <tableColumn id="2" name="Objetivo" dataDxfId="8"/>
    <tableColumn id="3" name="Acciones Claves" dataDxfId="7"/>
    <tableColumn id="4" name="Herramientas / Tecnicas" dataDxfId="6"/>
  </tableColumns>
  <tableStyleInfo name="TableStyleMedium9" showFirstColumn="0" showLastColumn="0" showRowStripes="1" showColumnStripes="0"/>
</table>
</file>

<file path=xl/tables/table2.xml><?xml version="1.0" encoding="utf-8"?>
<table xmlns="http://schemas.openxmlformats.org/spreadsheetml/2006/main" id="7" name="Tabla7" displayName="Tabla7" ref="B13:E17" totalsRowShown="0" headerRowDxfId="5" dataDxfId="4">
  <autoFilter ref="B13:E17"/>
  <tableColumns count="4">
    <tableColumn id="1" name="#" dataDxfId="3"/>
    <tableColumn id="2" name="Problema Detectado" dataDxfId="2"/>
    <tableColumn id="3" name="Técnica de Excel" dataDxfId="1"/>
    <tableColumn id="4" name="Resultado" dataDxfId="0"/>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05"/>
  <sheetViews>
    <sheetView workbookViewId="0">
      <selection activeCell="I36" sqref="I36"/>
    </sheetView>
  </sheetViews>
  <sheetFormatPr baseColWidth="10" defaultColWidth="8.83203125" defaultRowHeight="16" x14ac:dyDescent="0.2"/>
  <cols>
    <col min="1" max="1" width="14" style="3" customWidth="1"/>
    <col min="2" max="2" width="26" style="3" customWidth="1"/>
    <col min="3" max="3" width="16" style="3" customWidth="1"/>
    <col min="4" max="4" width="13.5" style="3" customWidth="1"/>
    <col min="5" max="5" width="12.83203125" style="3" customWidth="1"/>
    <col min="6" max="6" width="12.5" style="3" customWidth="1"/>
    <col min="7" max="7" width="15.6640625" style="3" customWidth="1"/>
    <col min="8" max="16384" width="8.83203125" style="3"/>
  </cols>
  <sheetData>
    <row r="1" spans="1:7" s="1" customFormat="1" ht="22" customHeight="1" thickBot="1" x14ac:dyDescent="0.25">
      <c r="A1" s="5" t="s">
        <v>0</v>
      </c>
      <c r="B1" s="5" t="s">
        <v>1</v>
      </c>
      <c r="C1" s="5" t="s">
        <v>479</v>
      </c>
      <c r="D1" s="5" t="s">
        <v>480</v>
      </c>
      <c r="E1" s="5" t="s">
        <v>2</v>
      </c>
      <c r="F1" s="5" t="s">
        <v>3</v>
      </c>
      <c r="G1" s="5" t="s">
        <v>4</v>
      </c>
    </row>
    <row r="2" spans="1:7" x14ac:dyDescent="0.2">
      <c r="A2" s="6" t="s">
        <v>390</v>
      </c>
      <c r="B2" s="7" t="s">
        <v>481</v>
      </c>
      <c r="C2" s="7" t="s">
        <v>482</v>
      </c>
      <c r="D2" s="7" t="s">
        <v>6</v>
      </c>
      <c r="E2" s="8">
        <v>90.98</v>
      </c>
      <c r="F2" s="9">
        <v>26</v>
      </c>
      <c r="G2" s="6" t="s">
        <v>391</v>
      </c>
    </row>
    <row r="3" spans="1:7" x14ac:dyDescent="0.2">
      <c r="A3" s="6" t="s">
        <v>33</v>
      </c>
      <c r="B3" s="7" t="s">
        <v>481</v>
      </c>
      <c r="C3" s="7" t="s">
        <v>482</v>
      </c>
      <c r="D3" s="7" t="s">
        <v>6</v>
      </c>
      <c r="E3" s="8">
        <v>86.92</v>
      </c>
      <c r="F3" s="9">
        <v>27</v>
      </c>
      <c r="G3" s="6" t="s">
        <v>329</v>
      </c>
    </row>
    <row r="4" spans="1:7" x14ac:dyDescent="0.2">
      <c r="A4" s="6" t="s">
        <v>33</v>
      </c>
      <c r="B4" s="7" t="s">
        <v>483</v>
      </c>
      <c r="C4" s="7" t="s">
        <v>482</v>
      </c>
      <c r="D4" s="7" t="s">
        <v>12</v>
      </c>
      <c r="E4" s="8">
        <v>81.93</v>
      </c>
      <c r="F4" s="9">
        <v>37</v>
      </c>
      <c r="G4" s="6" t="s">
        <v>48</v>
      </c>
    </row>
    <row r="5" spans="1:7" x14ac:dyDescent="0.2">
      <c r="A5" s="6" t="s">
        <v>33</v>
      </c>
      <c r="B5" s="7" t="s">
        <v>483</v>
      </c>
      <c r="C5" s="7" t="s">
        <v>482</v>
      </c>
      <c r="D5" s="7" t="s">
        <v>12</v>
      </c>
      <c r="E5" s="8">
        <v>81.93</v>
      </c>
      <c r="F5" s="9">
        <v>37</v>
      </c>
      <c r="G5" s="6" t="s">
        <v>49</v>
      </c>
    </row>
    <row r="6" spans="1:7" x14ac:dyDescent="0.2">
      <c r="A6" s="6" t="s">
        <v>33</v>
      </c>
      <c r="B6" s="7" t="s">
        <v>484</v>
      </c>
      <c r="C6" s="7" t="s">
        <v>25</v>
      </c>
      <c r="D6" s="7" t="s">
        <v>12</v>
      </c>
      <c r="E6" s="8">
        <v>37.22</v>
      </c>
      <c r="F6" s="9">
        <v>29</v>
      </c>
      <c r="G6" s="6" t="s">
        <v>34</v>
      </c>
    </row>
    <row r="7" spans="1:7" x14ac:dyDescent="0.2">
      <c r="A7" s="6" t="s">
        <v>485</v>
      </c>
      <c r="B7" s="7" t="s">
        <v>486</v>
      </c>
      <c r="C7" s="7" t="s">
        <v>482</v>
      </c>
      <c r="D7" s="7" t="s">
        <v>9</v>
      </c>
      <c r="E7" s="8">
        <v>114.06</v>
      </c>
      <c r="F7" s="9">
        <v>18</v>
      </c>
      <c r="G7" s="6" t="s">
        <v>217</v>
      </c>
    </row>
    <row r="8" spans="1:7" x14ac:dyDescent="0.2">
      <c r="A8" s="6" t="s">
        <v>162</v>
      </c>
      <c r="B8" s="7" t="s">
        <v>487</v>
      </c>
      <c r="C8" s="7" t="s">
        <v>488</v>
      </c>
      <c r="D8" s="7" t="s">
        <v>19</v>
      </c>
      <c r="E8" s="8">
        <v>298.97000000000003</v>
      </c>
      <c r="F8" s="9">
        <v>22</v>
      </c>
      <c r="G8" s="6" t="s">
        <v>372</v>
      </c>
    </row>
    <row r="9" spans="1:7" x14ac:dyDescent="0.2">
      <c r="A9" s="6" t="s">
        <v>162</v>
      </c>
      <c r="B9" s="7" t="s">
        <v>489</v>
      </c>
      <c r="C9" s="7" t="s">
        <v>482</v>
      </c>
      <c r="D9" s="7" t="s">
        <v>9</v>
      </c>
      <c r="E9" s="8">
        <v>408.27</v>
      </c>
      <c r="F9" s="9">
        <v>10</v>
      </c>
      <c r="G9" s="6" t="s">
        <v>350</v>
      </c>
    </row>
    <row r="10" spans="1:7" x14ac:dyDescent="0.2">
      <c r="A10" s="6" t="s">
        <v>162</v>
      </c>
      <c r="B10" s="7" t="s">
        <v>487</v>
      </c>
      <c r="C10" s="7" t="s">
        <v>488</v>
      </c>
      <c r="D10" s="7" t="s">
        <v>6</v>
      </c>
      <c r="E10" s="8">
        <v>312.3</v>
      </c>
      <c r="F10" s="9">
        <v>30</v>
      </c>
      <c r="G10" s="6" t="s">
        <v>163</v>
      </c>
    </row>
    <row r="11" spans="1:7" x14ac:dyDescent="0.2">
      <c r="A11" s="6" t="s">
        <v>304</v>
      </c>
      <c r="B11" s="7" t="s">
        <v>489</v>
      </c>
      <c r="C11" s="7" t="s">
        <v>482</v>
      </c>
      <c r="D11" s="7" t="s">
        <v>19</v>
      </c>
      <c r="E11" s="8">
        <v>885.83</v>
      </c>
      <c r="F11" s="9">
        <v>12</v>
      </c>
      <c r="G11" s="6" t="s">
        <v>305</v>
      </c>
    </row>
    <row r="12" spans="1:7" x14ac:dyDescent="0.2">
      <c r="A12" s="6" t="s">
        <v>95</v>
      </c>
      <c r="B12" s="7" t="s">
        <v>490</v>
      </c>
      <c r="C12" s="7" t="s">
        <v>491</v>
      </c>
      <c r="D12" s="7" t="s">
        <v>15</v>
      </c>
      <c r="E12" s="8">
        <v>98.4</v>
      </c>
      <c r="F12" s="9">
        <v>10</v>
      </c>
      <c r="G12" s="6" t="s">
        <v>96</v>
      </c>
    </row>
    <row r="13" spans="1:7" x14ac:dyDescent="0.2">
      <c r="A13" s="6" t="s">
        <v>95</v>
      </c>
      <c r="B13" s="7" t="s">
        <v>22</v>
      </c>
      <c r="C13" s="7" t="s">
        <v>482</v>
      </c>
      <c r="D13" s="7" t="s">
        <v>6</v>
      </c>
      <c r="E13" s="8">
        <v>155.68</v>
      </c>
      <c r="F13" s="9">
        <v>22</v>
      </c>
      <c r="G13" s="6" t="s">
        <v>227</v>
      </c>
    </row>
    <row r="14" spans="1:7" x14ac:dyDescent="0.2">
      <c r="A14" s="6" t="s">
        <v>341</v>
      </c>
      <c r="B14" s="7" t="s">
        <v>492</v>
      </c>
      <c r="C14" s="7" t="s">
        <v>25</v>
      </c>
      <c r="D14" s="7" t="s">
        <v>9</v>
      </c>
      <c r="E14" s="8">
        <v>55.32</v>
      </c>
      <c r="F14" s="9">
        <v>24</v>
      </c>
      <c r="G14" s="6" t="s">
        <v>342</v>
      </c>
    </row>
    <row r="15" spans="1:7" x14ac:dyDescent="0.2">
      <c r="A15" s="6" t="s">
        <v>241</v>
      </c>
      <c r="B15" s="7" t="s">
        <v>493</v>
      </c>
      <c r="C15" s="7" t="s">
        <v>482</v>
      </c>
      <c r="D15" s="7" t="s">
        <v>15</v>
      </c>
      <c r="E15" s="8">
        <v>896.02</v>
      </c>
      <c r="F15" s="9">
        <v>12</v>
      </c>
      <c r="G15" s="6" t="s">
        <v>242</v>
      </c>
    </row>
    <row r="16" spans="1:7" x14ac:dyDescent="0.2">
      <c r="A16" s="6" t="s">
        <v>494</v>
      </c>
      <c r="B16" s="7" t="s">
        <v>495</v>
      </c>
      <c r="C16" s="7" t="s">
        <v>482</v>
      </c>
      <c r="D16" s="7" t="s">
        <v>9</v>
      </c>
      <c r="E16" s="8">
        <v>259.95</v>
      </c>
      <c r="F16" s="9">
        <v>7</v>
      </c>
      <c r="G16" s="6" t="s">
        <v>496</v>
      </c>
    </row>
    <row r="17" spans="1:7" x14ac:dyDescent="0.2">
      <c r="A17" s="6" t="s">
        <v>125</v>
      </c>
      <c r="B17" s="7" t="s">
        <v>487</v>
      </c>
      <c r="C17" s="7" t="s">
        <v>488</v>
      </c>
      <c r="D17" s="7" t="s">
        <v>6</v>
      </c>
      <c r="E17" s="8">
        <v>313.14999999999998</v>
      </c>
      <c r="F17" s="9">
        <v>29</v>
      </c>
      <c r="G17" s="6" t="s">
        <v>275</v>
      </c>
    </row>
    <row r="18" spans="1:7" x14ac:dyDescent="0.2">
      <c r="A18" s="6" t="s">
        <v>125</v>
      </c>
      <c r="B18" s="7" t="s">
        <v>497</v>
      </c>
      <c r="C18" s="7" t="s">
        <v>488</v>
      </c>
      <c r="D18" s="7" t="s">
        <v>15</v>
      </c>
      <c r="E18" s="8">
        <v>20.440000000000001</v>
      </c>
      <c r="F18" s="9">
        <v>120</v>
      </c>
      <c r="G18" s="6" t="s">
        <v>126</v>
      </c>
    </row>
    <row r="19" spans="1:7" x14ac:dyDescent="0.2">
      <c r="A19" s="6" t="s">
        <v>125</v>
      </c>
      <c r="B19" s="7" t="s">
        <v>481</v>
      </c>
      <c r="C19" s="7" t="s">
        <v>482</v>
      </c>
      <c r="D19" s="7" t="s">
        <v>6</v>
      </c>
      <c r="E19" s="8">
        <v>87.72</v>
      </c>
      <c r="F19" s="9">
        <v>22</v>
      </c>
      <c r="G19" s="6" t="s">
        <v>226</v>
      </c>
    </row>
    <row r="20" spans="1:7" x14ac:dyDescent="0.2">
      <c r="A20" s="6" t="s">
        <v>125</v>
      </c>
      <c r="B20" s="7" t="s">
        <v>498</v>
      </c>
      <c r="C20" s="7" t="s">
        <v>491</v>
      </c>
      <c r="D20" s="7" t="s">
        <v>9</v>
      </c>
      <c r="E20" s="8">
        <v>123.41</v>
      </c>
      <c r="F20" s="9">
        <v>15</v>
      </c>
      <c r="G20" s="6" t="s">
        <v>407</v>
      </c>
    </row>
    <row r="21" spans="1:7" x14ac:dyDescent="0.2">
      <c r="A21" s="6" t="s">
        <v>103</v>
      </c>
      <c r="B21" s="7" t="s">
        <v>499</v>
      </c>
      <c r="C21" s="7" t="s">
        <v>488</v>
      </c>
      <c r="D21" s="7" t="s">
        <v>19</v>
      </c>
      <c r="E21" s="8">
        <v>1153.21</v>
      </c>
      <c r="F21" s="9">
        <v>7</v>
      </c>
      <c r="G21" s="6" t="s">
        <v>104</v>
      </c>
    </row>
    <row r="22" spans="1:7" x14ac:dyDescent="0.2">
      <c r="A22" s="6" t="s">
        <v>103</v>
      </c>
      <c r="B22" s="7" t="s">
        <v>500</v>
      </c>
      <c r="C22" s="7" t="s">
        <v>25</v>
      </c>
      <c r="D22" s="7" t="s">
        <v>19</v>
      </c>
      <c r="E22" s="8">
        <v>23.09</v>
      </c>
      <c r="F22" s="9">
        <v>61</v>
      </c>
      <c r="G22" s="6" t="s">
        <v>501</v>
      </c>
    </row>
    <row r="23" spans="1:7" x14ac:dyDescent="0.2">
      <c r="A23" s="6" t="s">
        <v>249</v>
      </c>
      <c r="B23" s="7" t="s">
        <v>487</v>
      </c>
      <c r="C23" s="7" t="s">
        <v>488</v>
      </c>
      <c r="D23" s="7" t="s">
        <v>12</v>
      </c>
      <c r="E23" s="8">
        <v>308.04000000000002</v>
      </c>
      <c r="F23" s="9">
        <v>27</v>
      </c>
      <c r="G23" s="6" t="s">
        <v>250</v>
      </c>
    </row>
    <row r="24" spans="1:7" x14ac:dyDescent="0.2">
      <c r="A24" s="6" t="s">
        <v>344</v>
      </c>
      <c r="B24" s="7" t="s">
        <v>499</v>
      </c>
      <c r="C24" s="7" t="s">
        <v>488</v>
      </c>
      <c r="D24" s="7" t="s">
        <v>6</v>
      </c>
      <c r="E24" s="8">
        <v>1136.95</v>
      </c>
      <c r="F24" s="9">
        <v>8</v>
      </c>
      <c r="G24" s="6" t="s">
        <v>345</v>
      </c>
    </row>
    <row r="25" spans="1:7" x14ac:dyDescent="0.2">
      <c r="A25" s="6" t="s">
        <v>502</v>
      </c>
      <c r="B25" s="7" t="s">
        <v>490</v>
      </c>
      <c r="C25" s="7" t="s">
        <v>491</v>
      </c>
      <c r="D25" s="7" t="s">
        <v>19</v>
      </c>
      <c r="E25" s="8">
        <v>98.73</v>
      </c>
      <c r="F25" s="9">
        <v>10</v>
      </c>
      <c r="G25" s="6" t="s">
        <v>111</v>
      </c>
    </row>
    <row r="26" spans="1:7" x14ac:dyDescent="0.2">
      <c r="A26" s="6" t="s">
        <v>321</v>
      </c>
      <c r="B26" s="7" t="s">
        <v>503</v>
      </c>
      <c r="C26" s="7" t="s">
        <v>488</v>
      </c>
      <c r="D26" s="7" t="s">
        <v>12</v>
      </c>
      <c r="E26" s="8">
        <v>10.34</v>
      </c>
      <c r="F26" s="9">
        <v>202</v>
      </c>
      <c r="G26" s="6" t="s">
        <v>322</v>
      </c>
    </row>
    <row r="27" spans="1:7" x14ac:dyDescent="0.2">
      <c r="A27" s="6" t="s">
        <v>330</v>
      </c>
      <c r="B27" s="7" t="s">
        <v>504</v>
      </c>
      <c r="C27" s="7" t="s">
        <v>482</v>
      </c>
      <c r="D27" s="7" t="s">
        <v>9</v>
      </c>
      <c r="E27" s="8">
        <v>132.79</v>
      </c>
      <c r="F27" s="9">
        <v>21</v>
      </c>
      <c r="G27" s="6" t="s">
        <v>331</v>
      </c>
    </row>
    <row r="28" spans="1:7" x14ac:dyDescent="0.2">
      <c r="A28" s="6" t="s">
        <v>254</v>
      </c>
      <c r="B28" s="7" t="s">
        <v>484</v>
      </c>
      <c r="C28" s="7" t="s">
        <v>25</v>
      </c>
      <c r="D28" s="7" t="s">
        <v>9</v>
      </c>
      <c r="E28" s="8">
        <v>36.35</v>
      </c>
      <c r="F28" s="9">
        <v>30</v>
      </c>
      <c r="G28" s="6" t="s">
        <v>339</v>
      </c>
    </row>
    <row r="29" spans="1:7" x14ac:dyDescent="0.2">
      <c r="A29" s="6" t="s">
        <v>254</v>
      </c>
      <c r="B29" s="7" t="s">
        <v>505</v>
      </c>
      <c r="C29" s="7" t="s">
        <v>491</v>
      </c>
      <c r="D29" s="7" t="s">
        <v>9</v>
      </c>
      <c r="E29" s="8">
        <v>878.97</v>
      </c>
      <c r="F29" s="9">
        <v>9</v>
      </c>
      <c r="G29" s="6" t="s">
        <v>255</v>
      </c>
    </row>
    <row r="30" spans="1:7" x14ac:dyDescent="0.2">
      <c r="A30" s="6" t="s">
        <v>57</v>
      </c>
      <c r="B30" s="7" t="s">
        <v>492</v>
      </c>
      <c r="C30" s="7" t="s">
        <v>25</v>
      </c>
      <c r="D30" s="7" t="s">
        <v>15</v>
      </c>
      <c r="E30" s="8">
        <v>53.24</v>
      </c>
      <c r="F30" s="9">
        <v>20</v>
      </c>
      <c r="G30" s="6" t="s">
        <v>292</v>
      </c>
    </row>
    <row r="31" spans="1:7" x14ac:dyDescent="0.2">
      <c r="A31" s="6" t="s">
        <v>57</v>
      </c>
      <c r="B31" s="7" t="s">
        <v>511</v>
      </c>
      <c r="C31" s="7" t="s">
        <v>25</v>
      </c>
      <c r="D31" s="7" t="s">
        <v>9</v>
      </c>
      <c r="E31" s="8">
        <v>14.69</v>
      </c>
      <c r="F31" s="9">
        <v>89</v>
      </c>
      <c r="G31" s="6" t="s">
        <v>374</v>
      </c>
    </row>
    <row r="32" spans="1:7" x14ac:dyDescent="0.2">
      <c r="A32" s="6" t="s">
        <v>57</v>
      </c>
      <c r="B32" s="7" t="s">
        <v>483</v>
      </c>
      <c r="C32" s="7" t="s">
        <v>482</v>
      </c>
      <c r="D32" s="7" t="s">
        <v>6</v>
      </c>
      <c r="E32" s="8">
        <v>80.52</v>
      </c>
      <c r="F32" s="9">
        <v>37</v>
      </c>
      <c r="G32" s="6" t="s">
        <v>58</v>
      </c>
    </row>
    <row r="33" spans="1:7" x14ac:dyDescent="0.2">
      <c r="A33" s="6" t="s">
        <v>427</v>
      </c>
      <c r="B33" s="7" t="s">
        <v>506</v>
      </c>
      <c r="C33" s="7" t="s">
        <v>491</v>
      </c>
      <c r="D33" s="7" t="s">
        <v>15</v>
      </c>
      <c r="E33" s="8">
        <v>1396.94</v>
      </c>
      <c r="F33" s="9">
        <v>5</v>
      </c>
      <c r="G33" s="6" t="s">
        <v>428</v>
      </c>
    </row>
    <row r="34" spans="1:7" x14ac:dyDescent="0.2">
      <c r="A34" s="6" t="s">
        <v>221</v>
      </c>
      <c r="B34" s="7" t="s">
        <v>507</v>
      </c>
      <c r="C34" s="7" t="s">
        <v>25</v>
      </c>
      <c r="D34" s="7" t="s">
        <v>15</v>
      </c>
      <c r="E34" s="8">
        <v>27.11</v>
      </c>
      <c r="F34" s="9">
        <v>50</v>
      </c>
      <c r="G34" s="6" t="s">
        <v>222</v>
      </c>
    </row>
    <row r="35" spans="1:7" x14ac:dyDescent="0.2">
      <c r="A35" s="6" t="s">
        <v>107</v>
      </c>
      <c r="B35" s="7" t="s">
        <v>486</v>
      </c>
      <c r="C35" s="7" t="s">
        <v>482</v>
      </c>
      <c r="D35" s="7" t="s">
        <v>19</v>
      </c>
      <c r="E35" s="8">
        <v>114.59</v>
      </c>
      <c r="F35" s="9">
        <v>15</v>
      </c>
      <c r="G35" s="6" t="s">
        <v>108</v>
      </c>
    </row>
    <row r="36" spans="1:7" x14ac:dyDescent="0.2">
      <c r="A36" s="6" t="s">
        <v>326</v>
      </c>
      <c r="B36" s="7" t="s">
        <v>503</v>
      </c>
      <c r="C36" s="7" t="s">
        <v>488</v>
      </c>
      <c r="D36" s="7" t="s">
        <v>12</v>
      </c>
      <c r="E36" s="8">
        <v>9.49</v>
      </c>
      <c r="F36" s="9">
        <v>22</v>
      </c>
      <c r="G36" s="6" t="s">
        <v>327</v>
      </c>
    </row>
    <row r="37" spans="1:7" x14ac:dyDescent="0.2">
      <c r="A37" s="6" t="s">
        <v>326</v>
      </c>
      <c r="B37" s="7" t="s">
        <v>508</v>
      </c>
      <c r="C37" s="7" t="s">
        <v>25</v>
      </c>
      <c r="D37" s="7" t="s">
        <v>12</v>
      </c>
      <c r="E37" s="8">
        <v>13.51</v>
      </c>
      <c r="F37" s="9">
        <v>104</v>
      </c>
      <c r="G37" s="6" t="s">
        <v>270</v>
      </c>
    </row>
    <row r="38" spans="1:7" x14ac:dyDescent="0.2">
      <c r="A38" s="6" t="s">
        <v>101</v>
      </c>
      <c r="B38" s="7" t="s">
        <v>499</v>
      </c>
      <c r="C38" s="7" t="s">
        <v>488</v>
      </c>
      <c r="D38" s="7" t="s">
        <v>9</v>
      </c>
      <c r="E38" s="8">
        <v>1082.23</v>
      </c>
      <c r="F38" s="9">
        <v>6</v>
      </c>
      <c r="G38" s="6" t="s">
        <v>102</v>
      </c>
    </row>
    <row r="39" spans="1:7" x14ac:dyDescent="0.2">
      <c r="A39" s="6" t="s">
        <v>101</v>
      </c>
      <c r="B39" s="7" t="s">
        <v>509</v>
      </c>
      <c r="C39" s="7" t="s">
        <v>491</v>
      </c>
      <c r="D39" s="7" t="s">
        <v>12</v>
      </c>
      <c r="E39" s="8">
        <v>495.52</v>
      </c>
      <c r="F39" s="9">
        <v>11</v>
      </c>
      <c r="G39" s="6" t="s">
        <v>349</v>
      </c>
    </row>
    <row r="40" spans="1:7" x14ac:dyDescent="0.2">
      <c r="A40" s="6" t="s">
        <v>138</v>
      </c>
      <c r="B40" s="7" t="s">
        <v>509</v>
      </c>
      <c r="C40" s="7" t="s">
        <v>491</v>
      </c>
      <c r="D40" s="7" t="s">
        <v>9</v>
      </c>
      <c r="E40" s="8">
        <v>476.52</v>
      </c>
      <c r="F40" s="9">
        <v>7</v>
      </c>
      <c r="G40" s="6" t="s">
        <v>139</v>
      </c>
    </row>
    <row r="41" spans="1:7" x14ac:dyDescent="0.2">
      <c r="A41" s="6" t="s">
        <v>138</v>
      </c>
      <c r="B41" s="7" t="s">
        <v>497</v>
      </c>
      <c r="C41" s="7" t="s">
        <v>488</v>
      </c>
      <c r="D41" s="7" t="s">
        <v>12</v>
      </c>
      <c r="E41" s="8">
        <v>19.170000000000002</v>
      </c>
      <c r="F41" s="9">
        <v>124</v>
      </c>
      <c r="G41" s="6" t="s">
        <v>161</v>
      </c>
    </row>
    <row r="42" spans="1:7" x14ac:dyDescent="0.2">
      <c r="A42" s="6" t="s">
        <v>109</v>
      </c>
      <c r="B42" s="7" t="s">
        <v>509</v>
      </c>
      <c r="C42" s="7" t="s">
        <v>491</v>
      </c>
      <c r="D42" s="7" t="s">
        <v>12</v>
      </c>
      <c r="E42" s="8">
        <v>521.55999999999995</v>
      </c>
      <c r="F42" s="9">
        <v>24</v>
      </c>
      <c r="G42" s="6" t="s">
        <v>379</v>
      </c>
    </row>
    <row r="43" spans="1:7" x14ac:dyDescent="0.2">
      <c r="A43" s="6" t="s">
        <v>109</v>
      </c>
      <c r="B43" s="7" t="s">
        <v>484</v>
      </c>
      <c r="C43" s="7" t="s">
        <v>25</v>
      </c>
      <c r="D43" s="7" t="s">
        <v>19</v>
      </c>
      <c r="E43" s="8">
        <v>37.69</v>
      </c>
      <c r="F43" s="9">
        <v>34</v>
      </c>
      <c r="G43" s="6" t="s">
        <v>110</v>
      </c>
    </row>
    <row r="44" spans="1:7" x14ac:dyDescent="0.2">
      <c r="A44" s="6" t="s">
        <v>132</v>
      </c>
      <c r="B44" s="7" t="s">
        <v>503</v>
      </c>
      <c r="C44" s="7" t="s">
        <v>488</v>
      </c>
      <c r="D44" s="7" t="s">
        <v>15</v>
      </c>
      <c r="E44" s="8">
        <v>9.67</v>
      </c>
      <c r="F44" s="9">
        <v>198</v>
      </c>
      <c r="G44" s="6" t="s">
        <v>234</v>
      </c>
    </row>
    <row r="45" spans="1:7" x14ac:dyDescent="0.2">
      <c r="A45" s="6" t="s">
        <v>132</v>
      </c>
      <c r="B45" s="7" t="s">
        <v>487</v>
      </c>
      <c r="C45" s="7" t="s">
        <v>488</v>
      </c>
      <c r="D45" s="7" t="s">
        <v>12</v>
      </c>
      <c r="E45" s="8">
        <v>297.11</v>
      </c>
      <c r="F45" s="9">
        <v>20</v>
      </c>
      <c r="G45" s="6" t="s">
        <v>133</v>
      </c>
    </row>
    <row r="46" spans="1:7" x14ac:dyDescent="0.2">
      <c r="A46" s="6" t="s">
        <v>510</v>
      </c>
      <c r="B46" s="7" t="s">
        <v>490</v>
      </c>
      <c r="C46" s="7" t="s">
        <v>491</v>
      </c>
      <c r="D46" s="7" t="s">
        <v>19</v>
      </c>
      <c r="E46" s="8">
        <v>91.51</v>
      </c>
      <c r="F46" s="9">
        <v>15</v>
      </c>
      <c r="G46" s="6" t="s">
        <v>73</v>
      </c>
    </row>
    <row r="47" spans="1:7" x14ac:dyDescent="0.2">
      <c r="A47" s="6" t="s">
        <v>386</v>
      </c>
      <c r="B47" s="7" t="s">
        <v>505</v>
      </c>
      <c r="C47" s="7" t="s">
        <v>491</v>
      </c>
      <c r="D47" s="7" t="s">
        <v>9</v>
      </c>
      <c r="E47" s="8">
        <v>890.87</v>
      </c>
      <c r="F47" s="9">
        <v>1</v>
      </c>
      <c r="G47" s="6" t="s">
        <v>387</v>
      </c>
    </row>
    <row r="48" spans="1:7" x14ac:dyDescent="0.2">
      <c r="A48" s="6" t="s">
        <v>260</v>
      </c>
      <c r="B48" s="7" t="s">
        <v>511</v>
      </c>
      <c r="C48" s="7" t="s">
        <v>482</v>
      </c>
      <c r="D48" s="7" t="s">
        <v>12</v>
      </c>
      <c r="E48" s="8">
        <v>82.96</v>
      </c>
      <c r="F48" s="9">
        <v>38</v>
      </c>
      <c r="G48" s="6" t="s">
        <v>261</v>
      </c>
    </row>
    <row r="49" spans="1:7" x14ac:dyDescent="0.2">
      <c r="A49" s="6" t="s">
        <v>266</v>
      </c>
      <c r="B49" s="7" t="s">
        <v>499</v>
      </c>
      <c r="C49" s="7" t="s">
        <v>488</v>
      </c>
      <c r="D49" s="7" t="s">
        <v>6</v>
      </c>
      <c r="E49" s="8">
        <v>1154.49</v>
      </c>
      <c r="F49" s="9">
        <v>12</v>
      </c>
      <c r="G49" s="6" t="s">
        <v>267</v>
      </c>
    </row>
    <row r="50" spans="1:7" x14ac:dyDescent="0.2">
      <c r="A50" s="6" t="s">
        <v>105</v>
      </c>
      <c r="B50" s="7" t="s">
        <v>509</v>
      </c>
      <c r="C50" s="7" t="s">
        <v>491</v>
      </c>
      <c r="D50" s="7" t="s">
        <v>15</v>
      </c>
      <c r="E50" s="8">
        <v>479.87</v>
      </c>
      <c r="F50" s="9">
        <v>12</v>
      </c>
      <c r="G50" s="6" t="s">
        <v>106</v>
      </c>
    </row>
    <row r="51" spans="1:7" x14ac:dyDescent="0.2">
      <c r="A51" s="6" t="s">
        <v>230</v>
      </c>
      <c r="B51" s="7" t="s">
        <v>492</v>
      </c>
      <c r="C51" s="7" t="s">
        <v>25</v>
      </c>
      <c r="D51" s="7" t="s">
        <v>6</v>
      </c>
      <c r="E51" s="8">
        <v>56.04</v>
      </c>
      <c r="F51" s="9">
        <v>23</v>
      </c>
      <c r="G51" s="6" t="s">
        <v>232</v>
      </c>
    </row>
    <row r="52" spans="1:7" x14ac:dyDescent="0.2">
      <c r="A52" s="6" t="s">
        <v>230</v>
      </c>
      <c r="B52" s="7" t="s">
        <v>484</v>
      </c>
      <c r="C52" s="7" t="s">
        <v>25</v>
      </c>
      <c r="D52" s="7" t="s">
        <v>6</v>
      </c>
      <c r="E52" s="8">
        <v>35.090000000000003</v>
      </c>
      <c r="F52" s="9">
        <v>34</v>
      </c>
      <c r="G52" s="6" t="s">
        <v>376</v>
      </c>
    </row>
    <row r="53" spans="1:7" x14ac:dyDescent="0.2">
      <c r="A53" s="6" t="s">
        <v>230</v>
      </c>
      <c r="B53" s="7" t="s">
        <v>506</v>
      </c>
      <c r="C53" s="7" t="s">
        <v>491</v>
      </c>
      <c r="D53" s="7" t="s">
        <v>9</v>
      </c>
      <c r="E53" s="8">
        <v>1390.37</v>
      </c>
      <c r="F53" s="9">
        <v>4</v>
      </c>
      <c r="G53" s="6" t="s">
        <v>42</v>
      </c>
    </row>
    <row r="54" spans="1:7" x14ac:dyDescent="0.2">
      <c r="A54" s="6" t="s">
        <v>230</v>
      </c>
      <c r="B54" s="7" t="s">
        <v>492</v>
      </c>
      <c r="C54" s="7" t="s">
        <v>25</v>
      </c>
      <c r="D54" s="7" t="s">
        <v>15</v>
      </c>
      <c r="E54" s="8">
        <v>56.04</v>
      </c>
      <c r="F54" s="9">
        <v>23</v>
      </c>
      <c r="G54" s="6" t="s">
        <v>231</v>
      </c>
    </row>
    <row r="55" spans="1:7" x14ac:dyDescent="0.2">
      <c r="A55" s="6" t="s">
        <v>512</v>
      </c>
      <c r="B55" s="7" t="s">
        <v>511</v>
      </c>
      <c r="C55" s="7" t="s">
        <v>482</v>
      </c>
      <c r="D55" s="7" t="s">
        <v>19</v>
      </c>
      <c r="E55" s="8">
        <v>86.12</v>
      </c>
      <c r="F55" s="9">
        <v>43</v>
      </c>
      <c r="G55" s="6" t="s">
        <v>338</v>
      </c>
    </row>
    <row r="56" spans="1:7" x14ac:dyDescent="0.2">
      <c r="A56" s="6" t="s">
        <v>512</v>
      </c>
      <c r="B56" s="7" t="s">
        <v>487</v>
      </c>
      <c r="C56" s="7" t="s">
        <v>488</v>
      </c>
      <c r="D56" s="7" t="s">
        <v>9</v>
      </c>
      <c r="E56" s="8">
        <v>300.3</v>
      </c>
      <c r="F56" s="9">
        <v>29</v>
      </c>
      <c r="G56" s="6" t="s">
        <v>310</v>
      </c>
    </row>
    <row r="57" spans="1:7" x14ac:dyDescent="0.2">
      <c r="A57" s="6" t="s">
        <v>257</v>
      </c>
      <c r="B57" s="7" t="s">
        <v>513</v>
      </c>
      <c r="C57" s="7" t="s">
        <v>25</v>
      </c>
      <c r="D57" s="7" t="s">
        <v>9</v>
      </c>
      <c r="E57" s="8">
        <v>18.21</v>
      </c>
      <c r="F57" s="9">
        <v>77</v>
      </c>
      <c r="G57" s="6" t="s">
        <v>258</v>
      </c>
    </row>
    <row r="58" spans="1:7" x14ac:dyDescent="0.2">
      <c r="A58" s="6" t="s">
        <v>145</v>
      </c>
      <c r="B58" s="7" t="s">
        <v>499</v>
      </c>
      <c r="C58" s="7" t="s">
        <v>488</v>
      </c>
      <c r="D58" s="7" t="s">
        <v>19</v>
      </c>
      <c r="E58" s="8">
        <v>1117.99</v>
      </c>
      <c r="F58" s="9">
        <v>5</v>
      </c>
      <c r="G58" s="6" t="s">
        <v>146</v>
      </c>
    </row>
    <row r="59" spans="1:7" x14ac:dyDescent="0.2">
      <c r="A59" s="6" t="s">
        <v>145</v>
      </c>
      <c r="B59" s="7" t="s">
        <v>513</v>
      </c>
      <c r="C59" s="7" t="s">
        <v>25</v>
      </c>
      <c r="D59" s="7" t="s">
        <v>6</v>
      </c>
      <c r="E59" s="8">
        <v>19.75</v>
      </c>
      <c r="F59" s="9">
        <v>85</v>
      </c>
      <c r="G59" s="6" t="s">
        <v>371</v>
      </c>
    </row>
    <row r="60" spans="1:7" x14ac:dyDescent="0.2">
      <c r="A60" s="6" t="s">
        <v>193</v>
      </c>
      <c r="B60" s="7" t="s">
        <v>506</v>
      </c>
      <c r="C60" s="7" t="s">
        <v>491</v>
      </c>
      <c r="D60" s="7" t="s">
        <v>9</v>
      </c>
      <c r="E60" s="8">
        <v>1371.86</v>
      </c>
      <c r="F60" s="9">
        <v>9</v>
      </c>
      <c r="G60" s="6" t="s">
        <v>194</v>
      </c>
    </row>
    <row r="61" spans="1:7" x14ac:dyDescent="0.2">
      <c r="A61" s="6" t="s">
        <v>514</v>
      </c>
      <c r="B61" s="7" t="s">
        <v>515</v>
      </c>
      <c r="C61" s="7" t="s">
        <v>482</v>
      </c>
      <c r="D61" s="7" t="s">
        <v>6</v>
      </c>
      <c r="E61" s="8">
        <v>43.48</v>
      </c>
      <c r="F61" s="9">
        <v>27</v>
      </c>
      <c r="G61" s="6" t="s">
        <v>396</v>
      </c>
    </row>
    <row r="62" spans="1:7" x14ac:dyDescent="0.2">
      <c r="A62" s="6" t="s">
        <v>514</v>
      </c>
      <c r="B62" s="7" t="s">
        <v>516</v>
      </c>
      <c r="C62" s="7" t="s">
        <v>482</v>
      </c>
      <c r="D62" s="7" t="s">
        <v>12</v>
      </c>
      <c r="E62" s="8">
        <v>442.56</v>
      </c>
      <c r="F62" s="9">
        <v>3</v>
      </c>
      <c r="G62" s="6" t="s">
        <v>517</v>
      </c>
    </row>
    <row r="63" spans="1:7" x14ac:dyDescent="0.2">
      <c r="A63" s="6" t="s">
        <v>187</v>
      </c>
      <c r="B63" s="7" t="s">
        <v>515</v>
      </c>
      <c r="C63" s="7" t="s">
        <v>482</v>
      </c>
      <c r="D63" s="7" t="s">
        <v>6</v>
      </c>
      <c r="E63" s="8">
        <v>43.77</v>
      </c>
      <c r="F63" s="9">
        <v>33</v>
      </c>
      <c r="G63" s="6" t="s">
        <v>188</v>
      </c>
    </row>
    <row r="64" spans="1:7" x14ac:dyDescent="0.2">
      <c r="A64" s="6" t="s">
        <v>187</v>
      </c>
      <c r="B64" s="7" t="s">
        <v>481</v>
      </c>
      <c r="C64" s="7" t="s">
        <v>482</v>
      </c>
      <c r="D64" s="7" t="s">
        <v>15</v>
      </c>
      <c r="E64" s="8">
        <v>91.73</v>
      </c>
      <c r="F64" s="9">
        <v>27</v>
      </c>
      <c r="G64" s="6" t="s">
        <v>422</v>
      </c>
    </row>
    <row r="65" spans="1:7" x14ac:dyDescent="0.2">
      <c r="A65" s="6" t="s">
        <v>187</v>
      </c>
      <c r="B65" s="7" t="s">
        <v>518</v>
      </c>
      <c r="C65" s="7" t="s">
        <v>482</v>
      </c>
      <c r="D65" s="7" t="s">
        <v>12</v>
      </c>
      <c r="E65" s="8">
        <v>1159.77</v>
      </c>
      <c r="F65" s="9">
        <v>9</v>
      </c>
      <c r="G65" s="6" t="s">
        <v>437</v>
      </c>
    </row>
    <row r="66" spans="1:7" x14ac:dyDescent="0.2">
      <c r="A66" s="6" t="s">
        <v>61</v>
      </c>
      <c r="B66" s="7" t="s">
        <v>508</v>
      </c>
      <c r="C66" s="7" t="s">
        <v>25</v>
      </c>
      <c r="D66" s="7" t="s">
        <v>6</v>
      </c>
      <c r="E66" s="8">
        <v>13.19</v>
      </c>
      <c r="F66" s="9">
        <v>97</v>
      </c>
      <c r="G66" s="6" t="s">
        <v>62</v>
      </c>
    </row>
    <row r="67" spans="1:7" x14ac:dyDescent="0.2">
      <c r="A67" s="6" t="s">
        <v>61</v>
      </c>
      <c r="B67" s="7" t="s">
        <v>495</v>
      </c>
      <c r="C67" s="7" t="s">
        <v>482</v>
      </c>
      <c r="D67" s="7" t="s">
        <v>6</v>
      </c>
      <c r="E67" s="8">
        <v>253.33</v>
      </c>
      <c r="F67" s="9">
        <v>12</v>
      </c>
      <c r="G67" s="6" t="s">
        <v>519</v>
      </c>
    </row>
    <row r="68" spans="1:7" x14ac:dyDescent="0.2">
      <c r="A68" s="6" t="s">
        <v>432</v>
      </c>
      <c r="B68" s="7" t="s">
        <v>520</v>
      </c>
      <c r="C68" s="7" t="s">
        <v>488</v>
      </c>
      <c r="D68" s="7" t="s">
        <v>6</v>
      </c>
      <c r="E68" s="8">
        <v>562.66</v>
      </c>
      <c r="F68" s="9">
        <v>18</v>
      </c>
      <c r="G68" s="6" t="s">
        <v>433</v>
      </c>
    </row>
    <row r="69" spans="1:7" x14ac:dyDescent="0.2">
      <c r="A69" s="6" t="s">
        <v>172</v>
      </c>
      <c r="B69" s="7" t="s">
        <v>507</v>
      </c>
      <c r="C69" s="7" t="s">
        <v>25</v>
      </c>
      <c r="D69" s="7" t="s">
        <v>19</v>
      </c>
      <c r="E69" s="8">
        <v>27.11</v>
      </c>
      <c r="F69" s="9">
        <v>55</v>
      </c>
      <c r="G69" s="6" t="s">
        <v>173</v>
      </c>
    </row>
    <row r="70" spans="1:7" x14ac:dyDescent="0.2">
      <c r="A70" s="6" t="s">
        <v>429</v>
      </c>
      <c r="B70" s="7" t="s">
        <v>499</v>
      </c>
      <c r="C70" s="7" t="s">
        <v>488</v>
      </c>
      <c r="D70" s="7" t="s">
        <v>19</v>
      </c>
      <c r="E70" s="8">
        <v>1067.29</v>
      </c>
      <c r="F70" s="9">
        <v>7</v>
      </c>
      <c r="G70" s="6" t="s">
        <v>430</v>
      </c>
    </row>
    <row r="71" spans="1:7" x14ac:dyDescent="0.2">
      <c r="A71" s="6" t="s">
        <v>521</v>
      </c>
      <c r="B71" s="7" t="s">
        <v>495</v>
      </c>
      <c r="C71" s="7" t="s">
        <v>482</v>
      </c>
      <c r="D71" s="7" t="s">
        <v>9</v>
      </c>
      <c r="E71" s="8">
        <v>254.38</v>
      </c>
      <c r="F71" s="9">
        <v>12</v>
      </c>
      <c r="G71" s="6" t="s">
        <v>522</v>
      </c>
    </row>
    <row r="72" spans="1:7" x14ac:dyDescent="0.2">
      <c r="A72" s="6" t="s">
        <v>521</v>
      </c>
      <c r="B72" s="7" t="s">
        <v>499</v>
      </c>
      <c r="C72" s="7" t="s">
        <v>488</v>
      </c>
      <c r="D72" s="7" t="s">
        <v>15</v>
      </c>
      <c r="E72" s="8">
        <v>1123.8900000000001</v>
      </c>
      <c r="F72" s="9">
        <v>8</v>
      </c>
      <c r="G72" s="6" t="s">
        <v>87</v>
      </c>
    </row>
    <row r="73" spans="1:7" x14ac:dyDescent="0.2">
      <c r="A73" s="6" t="s">
        <v>423</v>
      </c>
      <c r="B73" s="7" t="s">
        <v>500</v>
      </c>
      <c r="C73" s="7" t="s">
        <v>25</v>
      </c>
      <c r="D73" s="7" t="s">
        <v>9</v>
      </c>
      <c r="E73" s="8">
        <v>23.21</v>
      </c>
      <c r="F73" s="9">
        <v>62</v>
      </c>
      <c r="G73" s="6" t="s">
        <v>523</v>
      </c>
    </row>
    <row r="74" spans="1:7" x14ac:dyDescent="0.2">
      <c r="A74" s="6" t="s">
        <v>423</v>
      </c>
      <c r="B74" s="7" t="s">
        <v>499</v>
      </c>
      <c r="C74" s="7" t="s">
        <v>488</v>
      </c>
      <c r="D74" s="7" t="s">
        <v>15</v>
      </c>
      <c r="E74" s="8">
        <v>1113.6400000000001</v>
      </c>
      <c r="F74" s="9">
        <v>6</v>
      </c>
      <c r="G74" s="6" t="s">
        <v>424</v>
      </c>
    </row>
    <row r="75" spans="1:7" x14ac:dyDescent="0.2">
      <c r="A75" s="6" t="s">
        <v>279</v>
      </c>
      <c r="B75" s="7" t="s">
        <v>498</v>
      </c>
      <c r="C75" s="7" t="s">
        <v>491</v>
      </c>
      <c r="D75" s="7" t="s">
        <v>12</v>
      </c>
      <c r="E75" s="8">
        <v>118.32</v>
      </c>
      <c r="F75" s="9">
        <v>10</v>
      </c>
      <c r="G75" s="6" t="s">
        <v>280</v>
      </c>
    </row>
    <row r="76" spans="1:7" x14ac:dyDescent="0.2">
      <c r="A76" s="6" t="s">
        <v>524</v>
      </c>
      <c r="B76" s="7" t="s">
        <v>506</v>
      </c>
      <c r="C76" s="7" t="s">
        <v>491</v>
      </c>
      <c r="D76" s="7" t="s">
        <v>9</v>
      </c>
      <c r="E76" s="8">
        <v>1392.27</v>
      </c>
      <c r="F76" s="9">
        <v>9</v>
      </c>
      <c r="G76" s="6" t="s">
        <v>335</v>
      </c>
    </row>
    <row r="77" spans="1:7" x14ac:dyDescent="0.2">
      <c r="A77" s="6" t="s">
        <v>176</v>
      </c>
      <c r="B77" s="7" t="s">
        <v>503</v>
      </c>
      <c r="C77" s="7" t="s">
        <v>488</v>
      </c>
      <c r="D77" s="7" t="s">
        <v>15</v>
      </c>
      <c r="E77" s="8">
        <v>10.47</v>
      </c>
      <c r="F77" s="9">
        <v>199</v>
      </c>
      <c r="G77" s="6" t="s">
        <v>177</v>
      </c>
    </row>
    <row r="78" spans="1:7" x14ac:dyDescent="0.2">
      <c r="A78" s="6" t="s">
        <v>176</v>
      </c>
      <c r="B78" s="7" t="s">
        <v>509</v>
      </c>
      <c r="C78" s="7" t="s">
        <v>491</v>
      </c>
      <c r="D78" s="7" t="s">
        <v>6</v>
      </c>
      <c r="E78" s="8">
        <v>514.13</v>
      </c>
      <c r="F78" s="9">
        <v>10</v>
      </c>
      <c r="G78" s="6" t="s">
        <v>361</v>
      </c>
    </row>
    <row r="79" spans="1:7" x14ac:dyDescent="0.2">
      <c r="A79" s="6" t="s">
        <v>176</v>
      </c>
      <c r="B79" s="7" t="s">
        <v>505</v>
      </c>
      <c r="C79" s="7" t="s">
        <v>491</v>
      </c>
      <c r="D79" s="7" t="s">
        <v>9</v>
      </c>
      <c r="E79" s="8">
        <v>881.82</v>
      </c>
      <c r="F79" s="9">
        <v>7</v>
      </c>
      <c r="G79" s="6" t="s">
        <v>195</v>
      </c>
    </row>
    <row r="80" spans="1:7" x14ac:dyDescent="0.2">
      <c r="A80" s="6" t="s">
        <v>247</v>
      </c>
      <c r="B80" s="7" t="s">
        <v>525</v>
      </c>
      <c r="C80" s="7" t="s">
        <v>25</v>
      </c>
      <c r="D80" s="7" t="s">
        <v>6</v>
      </c>
      <c r="E80" s="8">
        <v>39.520000000000003</v>
      </c>
      <c r="F80" s="9">
        <v>48</v>
      </c>
      <c r="G80" s="6" t="s">
        <v>248</v>
      </c>
    </row>
    <row r="81" spans="1:7" x14ac:dyDescent="0.2">
      <c r="A81" s="6" t="s">
        <v>297</v>
      </c>
      <c r="B81" s="7" t="s">
        <v>520</v>
      </c>
      <c r="C81" s="7" t="s">
        <v>488</v>
      </c>
      <c r="D81" s="7" t="s">
        <v>15</v>
      </c>
      <c r="E81" s="8">
        <v>550.03</v>
      </c>
      <c r="F81" s="9">
        <v>13</v>
      </c>
      <c r="G81" s="6" t="s">
        <v>418</v>
      </c>
    </row>
    <row r="82" spans="1:7" x14ac:dyDescent="0.2">
      <c r="A82" s="6" t="s">
        <v>297</v>
      </c>
      <c r="B82" s="7" t="s">
        <v>504</v>
      </c>
      <c r="C82" s="7" t="s">
        <v>482</v>
      </c>
      <c r="D82" s="7" t="s">
        <v>15</v>
      </c>
      <c r="E82" s="8">
        <v>130.29</v>
      </c>
      <c r="F82" s="9">
        <v>16</v>
      </c>
      <c r="G82" s="6" t="s">
        <v>298</v>
      </c>
    </row>
    <row r="83" spans="1:7" x14ac:dyDescent="0.2">
      <c r="A83" s="6" t="s">
        <v>191</v>
      </c>
      <c r="B83" s="7" t="s">
        <v>490</v>
      </c>
      <c r="C83" s="7" t="s">
        <v>491</v>
      </c>
      <c r="D83" s="7" t="s">
        <v>6</v>
      </c>
      <c r="E83" s="8">
        <v>93.84</v>
      </c>
      <c r="F83" s="9">
        <v>13</v>
      </c>
      <c r="G83" s="6" t="s">
        <v>192</v>
      </c>
    </row>
    <row r="84" spans="1:7" x14ac:dyDescent="0.2">
      <c r="A84" s="6" t="s">
        <v>191</v>
      </c>
      <c r="B84" s="7" t="s">
        <v>490</v>
      </c>
      <c r="C84" s="7" t="s">
        <v>491</v>
      </c>
      <c r="D84" s="7" t="s">
        <v>19</v>
      </c>
      <c r="E84" s="8">
        <v>98.52</v>
      </c>
      <c r="F84" s="9">
        <v>8</v>
      </c>
      <c r="G84" s="6" t="s">
        <v>385</v>
      </c>
    </row>
    <row r="85" spans="1:7" x14ac:dyDescent="0.2">
      <c r="A85" s="6" t="s">
        <v>526</v>
      </c>
      <c r="B85" s="7" t="s">
        <v>527</v>
      </c>
      <c r="C85" s="7" t="s">
        <v>482</v>
      </c>
      <c r="D85" s="7" t="s">
        <v>6</v>
      </c>
      <c r="E85" s="8">
        <v>209.46</v>
      </c>
      <c r="F85" s="9">
        <v>10</v>
      </c>
      <c r="G85" s="6" t="s">
        <v>401</v>
      </c>
    </row>
    <row r="86" spans="1:7" x14ac:dyDescent="0.2">
      <c r="A86" s="6" t="s">
        <v>114</v>
      </c>
      <c r="B86" s="7" t="s">
        <v>499</v>
      </c>
      <c r="C86" s="7" t="s">
        <v>488</v>
      </c>
      <c r="D86" s="7" t="s">
        <v>15</v>
      </c>
      <c r="E86" s="8">
        <v>1126.8900000000001</v>
      </c>
      <c r="F86" s="9">
        <v>11</v>
      </c>
      <c r="G86" s="6" t="s">
        <v>180</v>
      </c>
    </row>
    <row r="87" spans="1:7" x14ac:dyDescent="0.2">
      <c r="A87" s="6" t="s">
        <v>114</v>
      </c>
      <c r="B87" s="7" t="s">
        <v>492</v>
      </c>
      <c r="C87" s="7" t="s">
        <v>25</v>
      </c>
      <c r="D87" s="7" t="s">
        <v>6</v>
      </c>
      <c r="E87" s="8">
        <v>54.11</v>
      </c>
      <c r="F87" s="9">
        <v>19</v>
      </c>
      <c r="G87" s="6" t="s">
        <v>287</v>
      </c>
    </row>
    <row r="88" spans="1:7" x14ac:dyDescent="0.2">
      <c r="A88" s="6" t="s">
        <v>114</v>
      </c>
      <c r="B88" s="7" t="s">
        <v>492</v>
      </c>
      <c r="C88" s="7" t="s">
        <v>25</v>
      </c>
      <c r="D88" s="7" t="s">
        <v>9</v>
      </c>
      <c r="E88" s="8">
        <v>54</v>
      </c>
      <c r="F88" s="9">
        <v>23</v>
      </c>
      <c r="G88" s="6" t="s">
        <v>115</v>
      </c>
    </row>
    <row r="89" spans="1:7" x14ac:dyDescent="0.2">
      <c r="A89" s="6" t="s">
        <v>114</v>
      </c>
      <c r="B89" s="7" t="s">
        <v>499</v>
      </c>
      <c r="C89" s="7" t="s">
        <v>488</v>
      </c>
      <c r="D89" s="7" t="s">
        <v>12</v>
      </c>
      <c r="E89" s="8">
        <v>1059.29</v>
      </c>
      <c r="F89" s="9">
        <v>9</v>
      </c>
      <c r="G89" s="6" t="s">
        <v>353</v>
      </c>
    </row>
    <row r="90" spans="1:7" x14ac:dyDescent="0.2">
      <c r="A90" s="6" t="s">
        <v>228</v>
      </c>
      <c r="B90" s="7" t="s">
        <v>528</v>
      </c>
      <c r="C90" s="7" t="s">
        <v>488</v>
      </c>
      <c r="D90" s="7" t="s">
        <v>12</v>
      </c>
      <c r="E90" s="8">
        <v>877.43</v>
      </c>
      <c r="F90" s="9">
        <v>9</v>
      </c>
      <c r="G90" s="6" t="s">
        <v>229</v>
      </c>
    </row>
    <row r="91" spans="1:7" x14ac:dyDescent="0.2">
      <c r="A91" s="6" t="s">
        <v>529</v>
      </c>
      <c r="B91" s="7" t="s">
        <v>504</v>
      </c>
      <c r="C91" s="7" t="s">
        <v>482</v>
      </c>
      <c r="D91" s="7" t="s">
        <v>12</v>
      </c>
      <c r="E91" s="8">
        <v>127.7</v>
      </c>
      <c r="F91" s="9">
        <v>15</v>
      </c>
      <c r="G91" s="6" t="s">
        <v>91</v>
      </c>
    </row>
    <row r="92" spans="1:7" x14ac:dyDescent="0.2">
      <c r="A92" s="6" t="s">
        <v>196</v>
      </c>
      <c r="B92" s="7" t="s">
        <v>486</v>
      </c>
      <c r="C92" s="7" t="s">
        <v>482</v>
      </c>
      <c r="D92" s="7" t="s">
        <v>19</v>
      </c>
      <c r="E92" s="8">
        <v>111.28</v>
      </c>
      <c r="F92" s="9">
        <v>19</v>
      </c>
      <c r="G92" s="6" t="s">
        <v>197</v>
      </c>
    </row>
    <row r="93" spans="1:7" x14ac:dyDescent="0.2">
      <c r="A93" s="6" t="s">
        <v>37</v>
      </c>
      <c r="B93" s="7" t="s">
        <v>487</v>
      </c>
      <c r="C93" s="7" t="s">
        <v>488</v>
      </c>
      <c r="D93" s="7" t="s">
        <v>9</v>
      </c>
      <c r="E93" s="8">
        <v>302.16000000000003</v>
      </c>
      <c r="F93" s="9">
        <v>23</v>
      </c>
      <c r="G93" s="6" t="s">
        <v>369</v>
      </c>
    </row>
    <row r="94" spans="1:7" x14ac:dyDescent="0.2">
      <c r="A94" s="6" t="s">
        <v>37</v>
      </c>
      <c r="B94" s="7" t="s">
        <v>513</v>
      </c>
      <c r="C94" s="7" t="s">
        <v>25</v>
      </c>
      <c r="D94" s="7" t="s">
        <v>9</v>
      </c>
      <c r="E94" s="8">
        <v>18.62</v>
      </c>
      <c r="F94" s="9">
        <v>77</v>
      </c>
      <c r="G94" s="6" t="s">
        <v>38</v>
      </c>
    </row>
    <row r="95" spans="1:7" x14ac:dyDescent="0.2">
      <c r="A95" s="6" t="s">
        <v>119</v>
      </c>
      <c r="B95" s="7" t="s">
        <v>530</v>
      </c>
      <c r="C95" s="7" t="s">
        <v>25</v>
      </c>
      <c r="D95" s="7" t="s">
        <v>19</v>
      </c>
      <c r="E95" s="8">
        <v>14.48</v>
      </c>
      <c r="F95" s="9">
        <v>93</v>
      </c>
      <c r="G95" s="6" t="s">
        <v>120</v>
      </c>
    </row>
    <row r="96" spans="1:7" x14ac:dyDescent="0.2">
      <c r="A96" s="6" t="s">
        <v>285</v>
      </c>
      <c r="B96" s="7" t="s">
        <v>520</v>
      </c>
      <c r="C96" s="7" t="s">
        <v>488</v>
      </c>
      <c r="D96" s="7" t="s">
        <v>12</v>
      </c>
      <c r="E96" s="8">
        <v>576.20000000000005</v>
      </c>
      <c r="F96" s="9">
        <v>14</v>
      </c>
      <c r="G96" s="6" t="s">
        <v>286</v>
      </c>
    </row>
    <row r="97" spans="1:7" x14ac:dyDescent="0.2">
      <c r="A97" s="6" t="s">
        <v>211</v>
      </c>
      <c r="B97" s="7" t="s">
        <v>498</v>
      </c>
      <c r="C97" s="7" t="s">
        <v>491</v>
      </c>
      <c r="D97" s="7" t="s">
        <v>12</v>
      </c>
      <c r="E97" s="8">
        <v>125.03</v>
      </c>
      <c r="F97" s="9">
        <v>11</v>
      </c>
      <c r="G97" s="6" t="s">
        <v>431</v>
      </c>
    </row>
    <row r="98" spans="1:7" x14ac:dyDescent="0.2">
      <c r="A98" s="6" t="s">
        <v>211</v>
      </c>
      <c r="B98" s="7" t="s">
        <v>503</v>
      </c>
      <c r="C98" s="7" t="s">
        <v>488</v>
      </c>
      <c r="D98" s="7" t="s">
        <v>12</v>
      </c>
      <c r="E98" s="8">
        <v>10.3</v>
      </c>
      <c r="F98" s="9">
        <v>204</v>
      </c>
      <c r="G98" s="6" t="s">
        <v>212</v>
      </c>
    </row>
    <row r="99" spans="1:7" x14ac:dyDescent="0.2">
      <c r="A99" s="6" t="s">
        <v>164</v>
      </c>
      <c r="B99" s="7" t="s">
        <v>506</v>
      </c>
      <c r="C99" s="7" t="s">
        <v>491</v>
      </c>
      <c r="D99" s="7" t="s">
        <v>6</v>
      </c>
      <c r="E99" s="8">
        <v>1401.61</v>
      </c>
      <c r="F99" s="9">
        <v>3</v>
      </c>
      <c r="G99" s="6" t="s">
        <v>165</v>
      </c>
    </row>
    <row r="100" spans="1:7" x14ac:dyDescent="0.2">
      <c r="A100" s="6" t="s">
        <v>164</v>
      </c>
      <c r="B100" s="7" t="s">
        <v>499</v>
      </c>
      <c r="C100" s="7" t="s">
        <v>488</v>
      </c>
      <c r="D100" s="7" t="s">
        <v>12</v>
      </c>
      <c r="E100" s="8">
        <v>1091.1400000000001</v>
      </c>
      <c r="F100" s="9">
        <v>10</v>
      </c>
      <c r="G100" s="6" t="s">
        <v>256</v>
      </c>
    </row>
    <row r="101" spans="1:7" x14ac:dyDescent="0.2">
      <c r="A101" s="6" t="s">
        <v>531</v>
      </c>
      <c r="B101" s="7" t="s">
        <v>500</v>
      </c>
      <c r="C101" s="7" t="s">
        <v>25</v>
      </c>
      <c r="D101" s="7" t="s">
        <v>19</v>
      </c>
      <c r="E101" s="8">
        <v>21.6</v>
      </c>
      <c r="F101" s="9">
        <v>63</v>
      </c>
      <c r="G101" s="6" t="s">
        <v>532</v>
      </c>
    </row>
    <row r="102" spans="1:7" x14ac:dyDescent="0.2">
      <c r="A102" s="6" t="s">
        <v>218</v>
      </c>
      <c r="B102" s="7" t="s">
        <v>484</v>
      </c>
      <c r="C102" s="7" t="s">
        <v>25</v>
      </c>
      <c r="D102" s="7" t="s">
        <v>19</v>
      </c>
      <c r="E102" s="8">
        <v>36.99</v>
      </c>
      <c r="F102" s="9">
        <v>35</v>
      </c>
      <c r="G102" s="6" t="s">
        <v>219</v>
      </c>
    </row>
    <row r="103" spans="1:7" x14ac:dyDescent="0.2">
      <c r="A103" s="6" t="s">
        <v>438</v>
      </c>
      <c r="B103" s="7" t="s">
        <v>506</v>
      </c>
      <c r="C103" s="7" t="s">
        <v>491</v>
      </c>
      <c r="D103" s="7" t="s">
        <v>15</v>
      </c>
      <c r="E103" s="8">
        <v>1304.67</v>
      </c>
      <c r="F103" s="9">
        <v>5</v>
      </c>
      <c r="G103" s="6" t="s">
        <v>439</v>
      </c>
    </row>
    <row r="104" spans="1:7" x14ac:dyDescent="0.2">
      <c r="A104" s="6" t="s">
        <v>283</v>
      </c>
      <c r="B104" s="7" t="s">
        <v>509</v>
      </c>
      <c r="C104" s="7" t="s">
        <v>491</v>
      </c>
      <c r="D104" s="7" t="s">
        <v>15</v>
      </c>
      <c r="E104" s="8">
        <v>488.61</v>
      </c>
      <c r="F104" s="9">
        <v>6</v>
      </c>
      <c r="G104" s="6" t="s">
        <v>284</v>
      </c>
    </row>
    <row r="105" spans="1:7" x14ac:dyDescent="0.2">
      <c r="A105" s="6" t="s">
        <v>43</v>
      </c>
      <c r="B105" s="7" t="s">
        <v>487</v>
      </c>
      <c r="C105" s="7" t="s">
        <v>488</v>
      </c>
      <c r="D105" s="7" t="s">
        <v>15</v>
      </c>
      <c r="E105" s="8">
        <v>291.25</v>
      </c>
      <c r="F105" s="9">
        <v>25</v>
      </c>
      <c r="G105" s="6" t="s">
        <v>44</v>
      </c>
    </row>
    <row r="106" spans="1:7" x14ac:dyDescent="0.2">
      <c r="A106" s="6" t="s">
        <v>67</v>
      </c>
      <c r="B106" s="7" t="s">
        <v>490</v>
      </c>
      <c r="C106" s="7" t="s">
        <v>491</v>
      </c>
      <c r="D106" s="7" t="s">
        <v>19</v>
      </c>
      <c r="E106" s="8">
        <v>99.29</v>
      </c>
      <c r="F106" s="9">
        <v>15</v>
      </c>
      <c r="G106" s="6" t="s">
        <v>346</v>
      </c>
    </row>
    <row r="107" spans="1:7" x14ac:dyDescent="0.2">
      <c r="A107" s="6" t="s">
        <v>67</v>
      </c>
      <c r="B107" s="7" t="s">
        <v>525</v>
      </c>
      <c r="C107" s="7" t="s">
        <v>25</v>
      </c>
      <c r="D107" s="7" t="s">
        <v>12</v>
      </c>
      <c r="E107" s="8">
        <v>40.96</v>
      </c>
      <c r="F107" s="9">
        <v>45</v>
      </c>
      <c r="G107" s="6" t="s">
        <v>68</v>
      </c>
    </row>
    <row r="108" spans="1:7" x14ac:dyDescent="0.2">
      <c r="A108" s="6" t="s">
        <v>533</v>
      </c>
      <c r="B108" s="7" t="s">
        <v>516</v>
      </c>
      <c r="C108" s="7" t="s">
        <v>482</v>
      </c>
      <c r="D108" s="7" t="s">
        <v>6</v>
      </c>
      <c r="E108" s="8">
        <v>439.42</v>
      </c>
      <c r="F108" s="9">
        <v>9</v>
      </c>
      <c r="G108" s="6" t="s">
        <v>534</v>
      </c>
    </row>
    <row r="109" spans="1:7" x14ac:dyDescent="0.2">
      <c r="A109" s="6" t="s">
        <v>142</v>
      </c>
      <c r="B109" s="7" t="s">
        <v>509</v>
      </c>
      <c r="C109" s="7" t="s">
        <v>491</v>
      </c>
      <c r="D109" s="7" t="s">
        <v>12</v>
      </c>
      <c r="E109" s="8">
        <v>515.86</v>
      </c>
      <c r="F109" s="9">
        <v>13</v>
      </c>
      <c r="G109" s="6" t="s">
        <v>143</v>
      </c>
    </row>
    <row r="110" spans="1:7" x14ac:dyDescent="0.2">
      <c r="A110" s="6" t="s">
        <v>237</v>
      </c>
      <c r="B110" s="7" t="s">
        <v>498</v>
      </c>
      <c r="C110" s="7" t="s">
        <v>491</v>
      </c>
      <c r="D110" s="7" t="s">
        <v>6</v>
      </c>
      <c r="E110" s="8">
        <v>121.83</v>
      </c>
      <c r="F110" s="9">
        <v>12</v>
      </c>
      <c r="G110" s="6" t="s">
        <v>238</v>
      </c>
    </row>
    <row r="111" spans="1:7" x14ac:dyDescent="0.2">
      <c r="A111" s="6" t="s">
        <v>237</v>
      </c>
      <c r="B111" s="7" t="s">
        <v>495</v>
      </c>
      <c r="C111" s="7" t="s">
        <v>482</v>
      </c>
      <c r="D111" s="7" t="s">
        <v>9</v>
      </c>
      <c r="E111" s="8">
        <v>245.42</v>
      </c>
      <c r="F111" s="9">
        <v>15</v>
      </c>
      <c r="G111" s="6" t="s">
        <v>535</v>
      </c>
    </row>
    <row r="112" spans="1:7" x14ac:dyDescent="0.2">
      <c r="A112" s="6" t="s">
        <v>76</v>
      </c>
      <c r="B112" s="7" t="s">
        <v>499</v>
      </c>
      <c r="C112" s="7" t="s">
        <v>488</v>
      </c>
      <c r="D112" s="7" t="s">
        <v>15</v>
      </c>
      <c r="E112" s="8">
        <v>1105.96</v>
      </c>
      <c r="F112" s="9">
        <v>12</v>
      </c>
      <c r="G112" s="6" t="s">
        <v>405</v>
      </c>
    </row>
    <row r="113" spans="1:7" x14ac:dyDescent="0.2">
      <c r="A113" s="6" t="s">
        <v>76</v>
      </c>
      <c r="B113" s="7" t="s">
        <v>499</v>
      </c>
      <c r="C113" s="7" t="s">
        <v>488</v>
      </c>
      <c r="D113" s="7" t="s">
        <v>19</v>
      </c>
      <c r="E113" s="8">
        <v>1105.96</v>
      </c>
      <c r="F113" s="9">
        <v>12</v>
      </c>
      <c r="G113" s="6" t="s">
        <v>404</v>
      </c>
    </row>
    <row r="114" spans="1:7" x14ac:dyDescent="0.2">
      <c r="A114" s="6" t="s">
        <v>76</v>
      </c>
      <c r="B114" s="7" t="s">
        <v>487</v>
      </c>
      <c r="C114" s="7" t="s">
        <v>488</v>
      </c>
      <c r="D114" s="7" t="s">
        <v>9</v>
      </c>
      <c r="E114" s="8">
        <v>305.72000000000003</v>
      </c>
      <c r="F114" s="9">
        <v>23</v>
      </c>
      <c r="G114" s="6" t="s">
        <v>77</v>
      </c>
    </row>
    <row r="115" spans="1:7" x14ac:dyDescent="0.2">
      <c r="A115" s="6" t="s">
        <v>536</v>
      </c>
      <c r="B115" s="7" t="s">
        <v>492</v>
      </c>
      <c r="C115" s="7" t="s">
        <v>25</v>
      </c>
      <c r="D115" s="7" t="s">
        <v>15</v>
      </c>
      <c r="E115" s="8">
        <v>55.45</v>
      </c>
      <c r="F115" s="9">
        <v>23</v>
      </c>
      <c r="G115" s="6" t="s">
        <v>443</v>
      </c>
    </row>
    <row r="116" spans="1:7" x14ac:dyDescent="0.2">
      <c r="A116" s="6" t="s">
        <v>184</v>
      </c>
      <c r="B116" s="7" t="s">
        <v>498</v>
      </c>
      <c r="C116" s="7" t="s">
        <v>491</v>
      </c>
      <c r="D116" s="7" t="s">
        <v>12</v>
      </c>
      <c r="E116" s="8">
        <v>116.38</v>
      </c>
      <c r="F116" s="9">
        <v>15</v>
      </c>
      <c r="G116" s="6" t="s">
        <v>185</v>
      </c>
    </row>
    <row r="117" spans="1:7" x14ac:dyDescent="0.2">
      <c r="A117" s="6" t="s">
        <v>184</v>
      </c>
      <c r="B117" s="7" t="s">
        <v>515</v>
      </c>
      <c r="C117" s="7" t="s">
        <v>482</v>
      </c>
      <c r="D117" s="7" t="s">
        <v>19</v>
      </c>
      <c r="E117" s="8">
        <v>47.12</v>
      </c>
      <c r="F117" s="9">
        <v>30</v>
      </c>
      <c r="G117" s="6" t="s">
        <v>347</v>
      </c>
    </row>
    <row r="118" spans="1:7" x14ac:dyDescent="0.2">
      <c r="A118" s="6" t="s">
        <v>184</v>
      </c>
      <c r="B118" s="7" t="s">
        <v>507</v>
      </c>
      <c r="C118" s="7" t="s">
        <v>25</v>
      </c>
      <c r="D118" s="7" t="s">
        <v>6</v>
      </c>
      <c r="E118" s="8">
        <v>26.11</v>
      </c>
      <c r="F118" s="9">
        <v>24</v>
      </c>
      <c r="G118" s="6" t="s">
        <v>314</v>
      </c>
    </row>
    <row r="119" spans="1:7" x14ac:dyDescent="0.2">
      <c r="A119" s="6" t="s">
        <v>393</v>
      </c>
      <c r="B119" s="7" t="s">
        <v>513</v>
      </c>
      <c r="C119" s="7" t="s">
        <v>25</v>
      </c>
      <c r="D119" s="7" t="s">
        <v>9</v>
      </c>
      <c r="E119" s="8">
        <v>19.649999999999999</v>
      </c>
      <c r="F119" s="9">
        <v>78</v>
      </c>
      <c r="G119" s="6" t="s">
        <v>394</v>
      </c>
    </row>
    <row r="120" spans="1:7" x14ac:dyDescent="0.2">
      <c r="A120" s="6" t="s">
        <v>157</v>
      </c>
      <c r="B120" s="7" t="s">
        <v>503</v>
      </c>
      <c r="C120" s="7" t="s">
        <v>488</v>
      </c>
      <c r="D120" s="7" t="s">
        <v>15</v>
      </c>
      <c r="E120" s="8">
        <v>9.65</v>
      </c>
      <c r="F120" s="9">
        <v>204</v>
      </c>
      <c r="G120" s="6" t="s">
        <v>158</v>
      </c>
    </row>
    <row r="121" spans="1:7" x14ac:dyDescent="0.2">
      <c r="A121" s="6" t="s">
        <v>288</v>
      </c>
      <c r="B121" s="10" t="s">
        <v>527</v>
      </c>
      <c r="C121" s="7" t="s">
        <v>482</v>
      </c>
      <c r="D121" s="7" t="s">
        <v>19</v>
      </c>
      <c r="E121" s="8">
        <v>116.71</v>
      </c>
      <c r="F121" s="9">
        <v>26</v>
      </c>
      <c r="G121" s="6" t="s">
        <v>264</v>
      </c>
    </row>
    <row r="122" spans="1:7" x14ac:dyDescent="0.2">
      <c r="A122" s="6" t="s">
        <v>288</v>
      </c>
      <c r="B122" s="7" t="s">
        <v>518</v>
      </c>
      <c r="C122" s="7" t="s">
        <v>482</v>
      </c>
      <c r="D122" s="7" t="s">
        <v>19</v>
      </c>
      <c r="E122" s="8">
        <v>1210.2</v>
      </c>
      <c r="F122" s="9">
        <v>11</v>
      </c>
      <c r="G122" s="6" t="s">
        <v>97</v>
      </c>
    </row>
    <row r="123" spans="1:7" x14ac:dyDescent="0.2">
      <c r="A123" s="6" t="s">
        <v>288</v>
      </c>
      <c r="B123" s="7" t="s">
        <v>530</v>
      </c>
      <c r="C123" s="7" t="s">
        <v>25</v>
      </c>
      <c r="D123" s="7" t="s">
        <v>9</v>
      </c>
      <c r="E123" s="8">
        <v>14.21</v>
      </c>
      <c r="F123" s="9">
        <v>91</v>
      </c>
      <c r="G123" s="6" t="s">
        <v>289</v>
      </c>
    </row>
    <row r="124" spans="1:7" x14ac:dyDescent="0.2">
      <c r="A124" s="6" t="s">
        <v>324</v>
      </c>
      <c r="B124" s="7" t="s">
        <v>503</v>
      </c>
      <c r="C124" s="7" t="s">
        <v>488</v>
      </c>
      <c r="D124" s="7" t="s">
        <v>15</v>
      </c>
      <c r="E124" s="8">
        <v>10.39</v>
      </c>
      <c r="F124" s="9">
        <v>200</v>
      </c>
      <c r="G124" s="6" t="s">
        <v>92</v>
      </c>
    </row>
    <row r="125" spans="1:7" x14ac:dyDescent="0.2">
      <c r="A125" s="6" t="s">
        <v>324</v>
      </c>
      <c r="B125" s="7" t="s">
        <v>22</v>
      </c>
      <c r="C125" s="7" t="s">
        <v>482</v>
      </c>
      <c r="D125" s="7" t="s">
        <v>12</v>
      </c>
      <c r="E125" s="8">
        <v>159.1</v>
      </c>
      <c r="F125" s="9">
        <v>15</v>
      </c>
      <c r="G125" s="6" t="s">
        <v>325</v>
      </c>
    </row>
    <row r="126" spans="1:7" x14ac:dyDescent="0.2">
      <c r="A126" s="6" t="s">
        <v>181</v>
      </c>
      <c r="B126" s="7" t="s">
        <v>513</v>
      </c>
      <c r="C126" s="7" t="s">
        <v>25</v>
      </c>
      <c r="D126" s="7" t="s">
        <v>19</v>
      </c>
      <c r="E126" s="8">
        <v>19.07</v>
      </c>
      <c r="F126" s="9">
        <v>80</v>
      </c>
      <c r="G126" s="6" t="s">
        <v>182</v>
      </c>
    </row>
    <row r="127" spans="1:7" x14ac:dyDescent="0.2">
      <c r="A127" s="6" t="s">
        <v>276</v>
      </c>
      <c r="B127" s="7" t="s">
        <v>506</v>
      </c>
      <c r="C127" s="7" t="s">
        <v>491</v>
      </c>
      <c r="D127" s="7" t="s">
        <v>6</v>
      </c>
      <c r="E127" s="8">
        <v>1306.42</v>
      </c>
      <c r="F127" s="9">
        <v>4</v>
      </c>
      <c r="G127" s="6" t="s">
        <v>352</v>
      </c>
    </row>
    <row r="128" spans="1:7" x14ac:dyDescent="0.2">
      <c r="A128" s="6" t="s">
        <v>276</v>
      </c>
      <c r="B128" s="7" t="s">
        <v>504</v>
      </c>
      <c r="C128" s="7" t="s">
        <v>482</v>
      </c>
      <c r="D128" s="7" t="s">
        <v>15</v>
      </c>
      <c r="E128" s="8">
        <v>127.27</v>
      </c>
      <c r="F128" s="9">
        <v>19</v>
      </c>
      <c r="G128" s="6" t="s">
        <v>277</v>
      </c>
    </row>
    <row r="129" spans="1:7" x14ac:dyDescent="0.2">
      <c r="A129" s="6" t="s">
        <v>411</v>
      </c>
      <c r="B129" s="7" t="s">
        <v>505</v>
      </c>
      <c r="C129" s="7" t="s">
        <v>491</v>
      </c>
      <c r="D129" s="7" t="s">
        <v>12</v>
      </c>
      <c r="E129" s="8">
        <v>817</v>
      </c>
      <c r="F129" s="9">
        <v>12</v>
      </c>
      <c r="G129" s="6" t="s">
        <v>412</v>
      </c>
    </row>
    <row r="130" spans="1:7" x14ac:dyDescent="0.2">
      <c r="A130" s="6" t="s">
        <v>411</v>
      </c>
      <c r="B130" s="7" t="s">
        <v>505</v>
      </c>
      <c r="C130" s="7" t="s">
        <v>491</v>
      </c>
      <c r="D130" s="7" t="s">
        <v>15</v>
      </c>
      <c r="E130" s="8">
        <v>817</v>
      </c>
      <c r="F130" s="9">
        <v>23</v>
      </c>
      <c r="G130" s="6" t="s">
        <v>413</v>
      </c>
    </row>
    <row r="131" spans="1:7" x14ac:dyDescent="0.2">
      <c r="A131" s="6" t="s">
        <v>411</v>
      </c>
      <c r="B131" s="7" t="s">
        <v>506</v>
      </c>
      <c r="C131" s="7" t="s">
        <v>491</v>
      </c>
      <c r="D131" s="7" t="s">
        <v>9</v>
      </c>
      <c r="E131" s="8">
        <v>1405.78</v>
      </c>
      <c r="F131" s="9">
        <v>8</v>
      </c>
      <c r="G131" s="6" t="s">
        <v>299</v>
      </c>
    </row>
    <row r="132" spans="1:7" x14ac:dyDescent="0.2">
      <c r="A132" s="6" t="s">
        <v>5</v>
      </c>
      <c r="B132" s="7" t="s">
        <v>493</v>
      </c>
      <c r="C132" s="7" t="s">
        <v>482</v>
      </c>
      <c r="D132" s="7" t="s">
        <v>6</v>
      </c>
      <c r="E132" s="8">
        <v>899.99</v>
      </c>
      <c r="F132" s="9">
        <v>15</v>
      </c>
      <c r="G132" s="6" t="s">
        <v>7</v>
      </c>
    </row>
    <row r="133" spans="1:7" x14ac:dyDescent="0.2">
      <c r="A133" s="6" t="s">
        <v>537</v>
      </c>
      <c r="B133" s="7" t="s">
        <v>518</v>
      </c>
      <c r="C133" s="7" t="s">
        <v>482</v>
      </c>
      <c r="D133" s="7" t="s">
        <v>6</v>
      </c>
      <c r="E133" s="8">
        <v>1217.76</v>
      </c>
      <c r="F133" s="9">
        <v>5</v>
      </c>
      <c r="G133" s="6" t="s">
        <v>336</v>
      </c>
    </row>
    <row r="134" spans="1:7" x14ac:dyDescent="0.2">
      <c r="A134" s="6" t="s">
        <v>538</v>
      </c>
      <c r="B134" s="7" t="s">
        <v>499</v>
      </c>
      <c r="C134" s="7" t="s">
        <v>488</v>
      </c>
      <c r="D134" s="7" t="s">
        <v>9</v>
      </c>
      <c r="E134" s="8">
        <v>1072.25</v>
      </c>
      <c r="F134" s="9">
        <v>4</v>
      </c>
      <c r="G134" s="6" t="s">
        <v>419</v>
      </c>
    </row>
    <row r="135" spans="1:7" x14ac:dyDescent="0.2">
      <c r="A135" s="6" t="s">
        <v>377</v>
      </c>
      <c r="B135" s="7" t="s">
        <v>507</v>
      </c>
      <c r="C135" s="7" t="s">
        <v>25</v>
      </c>
      <c r="D135" s="7" t="s">
        <v>15</v>
      </c>
      <c r="E135" s="8">
        <v>24.92</v>
      </c>
      <c r="F135" s="9">
        <v>47</v>
      </c>
      <c r="G135" s="6" t="s">
        <v>378</v>
      </c>
    </row>
    <row r="136" spans="1:7" x14ac:dyDescent="0.2">
      <c r="A136" s="6" t="s">
        <v>333</v>
      </c>
      <c r="B136" s="7" t="s">
        <v>518</v>
      </c>
      <c r="C136" s="7" t="s">
        <v>482</v>
      </c>
      <c r="D136" s="7" t="s">
        <v>6</v>
      </c>
      <c r="E136" s="8">
        <v>1192.0999999999999</v>
      </c>
      <c r="F136" s="9">
        <v>5</v>
      </c>
      <c r="G136" s="6" t="s">
        <v>334</v>
      </c>
    </row>
    <row r="137" spans="1:7" x14ac:dyDescent="0.2">
      <c r="A137" s="6" t="s">
        <v>293</v>
      </c>
      <c r="B137" s="7" t="s">
        <v>492</v>
      </c>
      <c r="C137" s="7" t="s">
        <v>25</v>
      </c>
      <c r="D137" s="7" t="s">
        <v>19</v>
      </c>
      <c r="E137" s="8">
        <v>54.25</v>
      </c>
      <c r="F137" s="9">
        <v>24</v>
      </c>
      <c r="G137" s="6" t="s">
        <v>294</v>
      </c>
    </row>
    <row r="138" spans="1:7" x14ac:dyDescent="0.2">
      <c r="A138" s="6" t="s">
        <v>293</v>
      </c>
      <c r="B138" s="7" t="s">
        <v>506</v>
      </c>
      <c r="C138" s="7" t="s">
        <v>491</v>
      </c>
      <c r="D138" s="7" t="s">
        <v>19</v>
      </c>
      <c r="E138" s="8">
        <v>1389.05</v>
      </c>
      <c r="F138" s="9">
        <v>10</v>
      </c>
      <c r="G138" s="6" t="s">
        <v>375</v>
      </c>
    </row>
    <row r="139" spans="1:7" x14ac:dyDescent="0.2">
      <c r="A139" s="6" t="s">
        <v>293</v>
      </c>
      <c r="B139" s="7" t="s">
        <v>508</v>
      </c>
      <c r="C139" s="7" t="s">
        <v>25</v>
      </c>
      <c r="D139" s="7" t="s">
        <v>6</v>
      </c>
      <c r="E139" s="8">
        <v>13.13</v>
      </c>
      <c r="F139" s="9">
        <v>98</v>
      </c>
      <c r="G139" s="6" t="s">
        <v>340</v>
      </c>
    </row>
    <row r="140" spans="1:7" x14ac:dyDescent="0.2">
      <c r="A140" s="6" t="s">
        <v>134</v>
      </c>
      <c r="B140" s="7" t="s">
        <v>486</v>
      </c>
      <c r="C140" s="7" t="s">
        <v>482</v>
      </c>
      <c r="D140" s="7" t="s">
        <v>9</v>
      </c>
      <c r="E140" s="8">
        <v>108.1</v>
      </c>
      <c r="F140" s="9">
        <v>14</v>
      </c>
      <c r="G140" s="6" t="s">
        <v>436</v>
      </c>
    </row>
    <row r="141" spans="1:7" x14ac:dyDescent="0.2">
      <c r="A141" s="6" t="s">
        <v>134</v>
      </c>
      <c r="B141" s="7" t="s">
        <v>528</v>
      </c>
      <c r="C141" s="7" t="s">
        <v>488</v>
      </c>
      <c r="D141" s="7" t="s">
        <v>12</v>
      </c>
      <c r="E141" s="8">
        <v>912.26</v>
      </c>
      <c r="F141" s="9">
        <v>14</v>
      </c>
      <c r="G141" s="6" t="s">
        <v>135</v>
      </c>
    </row>
    <row r="142" spans="1:7" x14ac:dyDescent="0.2">
      <c r="A142" s="6" t="s">
        <v>8</v>
      </c>
      <c r="B142" s="7" t="s">
        <v>515</v>
      </c>
      <c r="C142" s="7" t="s">
        <v>482</v>
      </c>
      <c r="D142" s="7" t="s">
        <v>9</v>
      </c>
      <c r="E142" s="8">
        <v>45.5</v>
      </c>
      <c r="F142" s="9">
        <v>30</v>
      </c>
      <c r="G142" s="6" t="s">
        <v>10</v>
      </c>
    </row>
    <row r="143" spans="1:7" x14ac:dyDescent="0.2">
      <c r="A143" s="6" t="s">
        <v>8</v>
      </c>
      <c r="B143" s="7" t="s">
        <v>518</v>
      </c>
      <c r="C143" s="7" t="s">
        <v>482</v>
      </c>
      <c r="D143" s="7" t="s">
        <v>19</v>
      </c>
      <c r="E143" s="8">
        <v>1153.78</v>
      </c>
      <c r="F143" s="9">
        <v>11</v>
      </c>
      <c r="G143" s="6" t="s">
        <v>118</v>
      </c>
    </row>
    <row r="144" spans="1:7" x14ac:dyDescent="0.2">
      <c r="A144" s="6" t="s">
        <v>215</v>
      </c>
      <c r="B144" s="7" t="s">
        <v>530</v>
      </c>
      <c r="C144" s="7" t="s">
        <v>25</v>
      </c>
      <c r="D144" s="7" t="s">
        <v>19</v>
      </c>
      <c r="E144" s="8">
        <v>14.1</v>
      </c>
      <c r="F144" s="9">
        <v>95</v>
      </c>
      <c r="G144" s="6" t="s">
        <v>216</v>
      </c>
    </row>
    <row r="145" spans="1:7" x14ac:dyDescent="0.2">
      <c r="A145" s="6" t="s">
        <v>366</v>
      </c>
      <c r="B145" s="7" t="s">
        <v>499</v>
      </c>
      <c r="C145" s="7" t="s">
        <v>488</v>
      </c>
      <c r="D145" s="7" t="s">
        <v>6</v>
      </c>
      <c r="E145" s="8">
        <v>1114.52</v>
      </c>
      <c r="F145" s="9">
        <v>5</v>
      </c>
      <c r="G145" s="6" t="s">
        <v>397</v>
      </c>
    </row>
    <row r="146" spans="1:7" x14ac:dyDescent="0.2">
      <c r="A146" s="6" t="s">
        <v>366</v>
      </c>
      <c r="B146" s="7" t="s">
        <v>22</v>
      </c>
      <c r="C146" s="7" t="s">
        <v>482</v>
      </c>
      <c r="D146" s="7" t="s">
        <v>6</v>
      </c>
      <c r="E146" s="8">
        <v>166.71</v>
      </c>
      <c r="F146" s="9">
        <v>20</v>
      </c>
      <c r="G146" s="6" t="s">
        <v>332</v>
      </c>
    </row>
    <row r="147" spans="1:7" x14ac:dyDescent="0.2">
      <c r="A147" s="6" t="s">
        <v>366</v>
      </c>
      <c r="B147" s="7" t="s">
        <v>492</v>
      </c>
      <c r="C147" s="7" t="s">
        <v>25</v>
      </c>
      <c r="D147" s="7" t="s">
        <v>12</v>
      </c>
      <c r="E147" s="8">
        <v>52.39</v>
      </c>
      <c r="F147" s="9">
        <v>21</v>
      </c>
      <c r="G147" s="6" t="s">
        <v>367</v>
      </c>
    </row>
    <row r="148" spans="1:7" x14ac:dyDescent="0.2">
      <c r="A148" s="6" t="s">
        <v>316</v>
      </c>
      <c r="B148" s="7" t="s">
        <v>484</v>
      </c>
      <c r="C148" s="7" t="s">
        <v>25</v>
      </c>
      <c r="D148" s="7" t="s">
        <v>6</v>
      </c>
      <c r="E148" s="8">
        <v>36.1</v>
      </c>
      <c r="F148" s="9">
        <v>34</v>
      </c>
      <c r="G148" s="6" t="s">
        <v>317</v>
      </c>
    </row>
    <row r="149" spans="1:7" x14ac:dyDescent="0.2">
      <c r="A149" s="6" t="s">
        <v>112</v>
      </c>
      <c r="B149" s="7" t="s">
        <v>506</v>
      </c>
      <c r="C149" s="7" t="s">
        <v>491</v>
      </c>
      <c r="D149" s="7" t="s">
        <v>19</v>
      </c>
      <c r="E149" s="8">
        <v>1391.28</v>
      </c>
      <c r="F149" s="9">
        <v>2</v>
      </c>
      <c r="G149" s="6" t="s">
        <v>131</v>
      </c>
    </row>
    <row r="150" spans="1:7" x14ac:dyDescent="0.2">
      <c r="A150" s="6" t="s">
        <v>112</v>
      </c>
      <c r="B150" s="7" t="s">
        <v>489</v>
      </c>
      <c r="C150" s="7" t="s">
        <v>482</v>
      </c>
      <c r="D150" s="7" t="s">
        <v>19</v>
      </c>
      <c r="E150" s="8">
        <v>416.97</v>
      </c>
      <c r="F150" s="9">
        <v>11</v>
      </c>
      <c r="G150" s="6" t="s">
        <v>415</v>
      </c>
    </row>
    <row r="151" spans="1:7" x14ac:dyDescent="0.2">
      <c r="A151" s="6" t="s">
        <v>112</v>
      </c>
      <c r="B151" s="7" t="s">
        <v>528</v>
      </c>
      <c r="C151" s="7" t="s">
        <v>488</v>
      </c>
      <c r="D151" s="7" t="s">
        <v>12</v>
      </c>
      <c r="E151" s="8">
        <v>859.81</v>
      </c>
      <c r="F151" s="9">
        <v>14</v>
      </c>
      <c r="G151" s="6" t="s">
        <v>113</v>
      </c>
    </row>
    <row r="152" spans="1:7" x14ac:dyDescent="0.2">
      <c r="A152" s="6" t="s">
        <v>99</v>
      </c>
      <c r="B152" s="7" t="s">
        <v>495</v>
      </c>
      <c r="C152" s="7" t="s">
        <v>482</v>
      </c>
      <c r="D152" s="7" t="s">
        <v>12</v>
      </c>
      <c r="E152" s="8">
        <v>250.26</v>
      </c>
      <c r="F152" s="9">
        <v>7</v>
      </c>
      <c r="G152" s="6" t="s">
        <v>539</v>
      </c>
    </row>
    <row r="153" spans="1:7" x14ac:dyDescent="0.2">
      <c r="A153" s="6" t="s">
        <v>99</v>
      </c>
      <c r="B153" s="7" t="s">
        <v>497</v>
      </c>
      <c r="C153" s="7" t="s">
        <v>488</v>
      </c>
      <c r="D153" s="7" t="s">
        <v>9</v>
      </c>
      <c r="E153" s="8">
        <v>19.68</v>
      </c>
      <c r="F153" s="9">
        <v>118</v>
      </c>
      <c r="G153" s="6" t="s">
        <v>203</v>
      </c>
    </row>
    <row r="154" spans="1:7" x14ac:dyDescent="0.2">
      <c r="A154" s="6" t="s">
        <v>99</v>
      </c>
      <c r="B154" s="7" t="s">
        <v>500</v>
      </c>
      <c r="C154" s="7" t="s">
        <v>25</v>
      </c>
      <c r="D154" s="7" t="s">
        <v>12</v>
      </c>
      <c r="E154" s="8">
        <v>22.81</v>
      </c>
      <c r="F154" s="9">
        <v>64</v>
      </c>
      <c r="G154" s="6" t="s">
        <v>540</v>
      </c>
    </row>
    <row r="155" spans="1:7" x14ac:dyDescent="0.2">
      <c r="A155" s="6" t="s">
        <v>99</v>
      </c>
      <c r="B155" s="7" t="s">
        <v>528</v>
      </c>
      <c r="C155" s="7" t="s">
        <v>488</v>
      </c>
      <c r="D155" s="7" t="s">
        <v>12</v>
      </c>
      <c r="E155" s="8">
        <v>893.92</v>
      </c>
      <c r="F155" s="9">
        <v>9</v>
      </c>
      <c r="G155" s="6" t="s">
        <v>100</v>
      </c>
    </row>
    <row r="156" spans="1:7" x14ac:dyDescent="0.2">
      <c r="A156" s="6" t="s">
        <v>127</v>
      </c>
      <c r="B156" s="7" t="s">
        <v>503</v>
      </c>
      <c r="C156" s="7" t="s">
        <v>488</v>
      </c>
      <c r="D156" s="7" t="s">
        <v>9</v>
      </c>
      <c r="E156" s="8">
        <v>10.33</v>
      </c>
      <c r="F156" s="9">
        <v>205</v>
      </c>
      <c r="G156" s="6" t="s">
        <v>128</v>
      </c>
    </row>
    <row r="157" spans="1:7" x14ac:dyDescent="0.2">
      <c r="A157" s="6" t="s">
        <v>127</v>
      </c>
      <c r="B157" s="7" t="s">
        <v>498</v>
      </c>
      <c r="C157" s="7" t="s">
        <v>491</v>
      </c>
      <c r="D157" s="7" t="s">
        <v>15</v>
      </c>
      <c r="E157" s="8">
        <v>116.47</v>
      </c>
      <c r="F157" s="9">
        <v>13</v>
      </c>
      <c r="G157" s="6" t="s">
        <v>282</v>
      </c>
    </row>
    <row r="158" spans="1:7" x14ac:dyDescent="0.2">
      <c r="A158" s="6" t="s">
        <v>127</v>
      </c>
      <c r="B158" s="7" t="s">
        <v>498</v>
      </c>
      <c r="C158" s="7" t="s">
        <v>491</v>
      </c>
      <c r="D158" s="7" t="s">
        <v>19</v>
      </c>
      <c r="E158" s="8">
        <v>116.47</v>
      </c>
      <c r="F158" s="9">
        <v>13</v>
      </c>
      <c r="G158" s="6" t="s">
        <v>281</v>
      </c>
    </row>
    <row r="159" spans="1:7" x14ac:dyDescent="0.2">
      <c r="A159" s="6" t="s">
        <v>357</v>
      </c>
      <c r="B159" s="7" t="s">
        <v>528</v>
      </c>
      <c r="C159" s="7" t="s">
        <v>488</v>
      </c>
      <c r="D159" s="7" t="s">
        <v>15</v>
      </c>
      <c r="E159" s="8">
        <v>858.3</v>
      </c>
      <c r="F159" s="9">
        <v>8</v>
      </c>
      <c r="G159" s="6" t="s">
        <v>358</v>
      </c>
    </row>
    <row r="160" spans="1:7" x14ac:dyDescent="0.2">
      <c r="A160" s="6" t="s">
        <v>357</v>
      </c>
      <c r="B160" s="7" t="s">
        <v>500</v>
      </c>
      <c r="C160" s="7" t="s">
        <v>25</v>
      </c>
      <c r="D160" s="7" t="s">
        <v>9</v>
      </c>
      <c r="E160" s="8">
        <v>22.52</v>
      </c>
      <c r="F160" s="9">
        <v>65</v>
      </c>
      <c r="G160" s="6" t="s">
        <v>541</v>
      </c>
    </row>
    <row r="161" spans="1:7" x14ac:dyDescent="0.2">
      <c r="A161" s="6" t="s">
        <v>357</v>
      </c>
      <c r="B161" s="7" t="s">
        <v>486</v>
      </c>
      <c r="C161" s="7" t="s">
        <v>482</v>
      </c>
      <c r="D161" s="7" t="s">
        <v>9</v>
      </c>
      <c r="E161" s="8">
        <v>112.11</v>
      </c>
      <c r="F161" s="9">
        <v>18</v>
      </c>
      <c r="G161" s="6" t="s">
        <v>414</v>
      </c>
    </row>
    <row r="162" spans="1:7" x14ac:dyDescent="0.2">
      <c r="A162" s="6" t="s">
        <v>11</v>
      </c>
      <c r="B162" s="7" t="s">
        <v>490</v>
      </c>
      <c r="C162" s="7" t="s">
        <v>491</v>
      </c>
      <c r="D162" s="7" t="s">
        <v>19</v>
      </c>
      <c r="E162" s="8">
        <v>98.29</v>
      </c>
      <c r="F162" s="9">
        <v>11</v>
      </c>
      <c r="G162" s="6" t="s">
        <v>88</v>
      </c>
    </row>
    <row r="163" spans="1:7" x14ac:dyDescent="0.2">
      <c r="A163" s="6" t="s">
        <v>11</v>
      </c>
      <c r="B163" s="7" t="s">
        <v>503</v>
      </c>
      <c r="C163" s="7" t="s">
        <v>488</v>
      </c>
      <c r="D163" s="7" t="s">
        <v>12</v>
      </c>
      <c r="E163" s="8">
        <v>9.65</v>
      </c>
      <c r="F163" s="9">
        <v>205</v>
      </c>
      <c r="G163" s="6" t="s">
        <v>442</v>
      </c>
    </row>
    <row r="164" spans="1:7" x14ac:dyDescent="0.2">
      <c r="A164" s="6" t="s">
        <v>11</v>
      </c>
      <c r="B164" s="7" t="s">
        <v>487</v>
      </c>
      <c r="C164" s="7" t="s">
        <v>488</v>
      </c>
      <c r="D164" s="7" t="s">
        <v>15</v>
      </c>
      <c r="E164" s="8">
        <v>308.29000000000002</v>
      </c>
      <c r="F164" s="9">
        <v>27</v>
      </c>
      <c r="G164" s="6" t="s">
        <v>425</v>
      </c>
    </row>
    <row r="165" spans="1:7" x14ac:dyDescent="0.2">
      <c r="A165" s="6" t="s">
        <v>11</v>
      </c>
      <c r="B165" s="7" t="s">
        <v>542</v>
      </c>
      <c r="C165" s="7" t="s">
        <v>482</v>
      </c>
      <c r="D165" s="7" t="s">
        <v>12</v>
      </c>
      <c r="E165" s="8">
        <v>120</v>
      </c>
      <c r="F165" s="9">
        <v>34</v>
      </c>
      <c r="G165" s="6" t="s">
        <v>13</v>
      </c>
    </row>
    <row r="166" spans="1:7" x14ac:dyDescent="0.2">
      <c r="A166" s="6" t="s">
        <v>84</v>
      </c>
      <c r="B166" s="7" t="s">
        <v>498</v>
      </c>
      <c r="C166" s="7" t="s">
        <v>491</v>
      </c>
      <c r="D166" s="7" t="s">
        <v>12</v>
      </c>
      <c r="E166" s="8">
        <v>121.95</v>
      </c>
      <c r="F166" s="9">
        <v>9</v>
      </c>
      <c r="G166" s="6" t="s">
        <v>85</v>
      </c>
    </row>
    <row r="167" spans="1:7" x14ac:dyDescent="0.2">
      <c r="A167" s="6" t="s">
        <v>84</v>
      </c>
      <c r="B167" s="7" t="s">
        <v>490</v>
      </c>
      <c r="C167" s="7" t="s">
        <v>491</v>
      </c>
      <c r="D167" s="7" t="s">
        <v>12</v>
      </c>
      <c r="E167" s="8">
        <v>99.02</v>
      </c>
      <c r="F167" s="9">
        <v>15</v>
      </c>
      <c r="G167" s="6" t="s">
        <v>278</v>
      </c>
    </row>
    <row r="168" spans="1:7" x14ac:dyDescent="0.2">
      <c r="A168" s="6" t="s">
        <v>306</v>
      </c>
      <c r="B168" s="7" t="s">
        <v>484</v>
      </c>
      <c r="C168" s="7" t="s">
        <v>25</v>
      </c>
      <c r="D168" s="7" t="s">
        <v>9</v>
      </c>
      <c r="E168" s="8">
        <v>36.299999999999997</v>
      </c>
      <c r="F168" s="9">
        <v>29</v>
      </c>
      <c r="G168" s="6" t="s">
        <v>307</v>
      </c>
    </row>
    <row r="169" spans="1:7" x14ac:dyDescent="0.2">
      <c r="A169" s="6" t="s">
        <v>543</v>
      </c>
      <c r="B169" s="7" t="s">
        <v>505</v>
      </c>
      <c r="C169" s="7" t="s">
        <v>491</v>
      </c>
      <c r="D169" s="7" t="s">
        <v>6</v>
      </c>
      <c r="E169" s="8">
        <v>844.36</v>
      </c>
      <c r="F169" s="9">
        <v>40</v>
      </c>
      <c r="G169" s="6" t="s">
        <v>392</v>
      </c>
    </row>
    <row r="170" spans="1:7" x14ac:dyDescent="0.2">
      <c r="A170" s="6" t="s">
        <v>268</v>
      </c>
      <c r="B170" s="7" t="s">
        <v>525</v>
      </c>
      <c r="C170" s="7" t="s">
        <v>25</v>
      </c>
      <c r="D170" s="7" t="s">
        <v>6</v>
      </c>
      <c r="E170" s="8">
        <v>38.82</v>
      </c>
      <c r="F170" s="9">
        <v>44</v>
      </c>
      <c r="G170" s="6" t="s">
        <v>269</v>
      </c>
    </row>
    <row r="171" spans="1:7" x14ac:dyDescent="0.2">
      <c r="A171" s="6" t="s">
        <v>52</v>
      </c>
      <c r="B171" s="7" t="s">
        <v>509</v>
      </c>
      <c r="C171" s="7" t="s">
        <v>491</v>
      </c>
      <c r="D171" s="7" t="s">
        <v>15</v>
      </c>
      <c r="E171" s="8">
        <v>505.1</v>
      </c>
      <c r="F171" s="9">
        <v>11</v>
      </c>
      <c r="G171" s="6" t="s">
        <v>395</v>
      </c>
    </row>
    <row r="172" spans="1:7" x14ac:dyDescent="0.2">
      <c r="A172" s="6" t="s">
        <v>52</v>
      </c>
      <c r="B172" s="7" t="s">
        <v>525</v>
      </c>
      <c r="C172" s="7" t="s">
        <v>25</v>
      </c>
      <c r="D172" s="7" t="s">
        <v>15</v>
      </c>
      <c r="E172" s="8">
        <v>39.5</v>
      </c>
      <c r="F172" s="9">
        <v>42</v>
      </c>
      <c r="G172" s="6" t="s">
        <v>243</v>
      </c>
    </row>
    <row r="173" spans="1:7" x14ac:dyDescent="0.2">
      <c r="A173" s="6" t="s">
        <v>52</v>
      </c>
      <c r="B173" s="7" t="s">
        <v>511</v>
      </c>
      <c r="C173" s="7" t="s">
        <v>482</v>
      </c>
      <c r="D173" s="7" t="s">
        <v>15</v>
      </c>
      <c r="E173" s="8">
        <v>83.88</v>
      </c>
      <c r="F173" s="9">
        <v>25</v>
      </c>
      <c r="G173" s="6" t="s">
        <v>274</v>
      </c>
    </row>
    <row r="174" spans="1:7" x14ac:dyDescent="0.2">
      <c r="A174" s="6" t="s">
        <v>52</v>
      </c>
      <c r="B174" s="7" t="s">
        <v>483</v>
      </c>
      <c r="C174" s="7" t="s">
        <v>482</v>
      </c>
      <c r="D174" s="7" t="s">
        <v>19</v>
      </c>
      <c r="E174" s="8">
        <v>76.31</v>
      </c>
      <c r="F174" s="9">
        <v>36</v>
      </c>
      <c r="G174" s="6" t="s">
        <v>53</v>
      </c>
    </row>
    <row r="175" spans="1:7" x14ac:dyDescent="0.2">
      <c r="A175" s="6" t="s">
        <v>544</v>
      </c>
      <c r="B175" s="7" t="s">
        <v>481</v>
      </c>
      <c r="C175" s="7" t="s">
        <v>482</v>
      </c>
      <c r="D175" s="7" t="s">
        <v>6</v>
      </c>
      <c r="E175" s="8">
        <v>89.99</v>
      </c>
      <c r="F175" s="9">
        <v>25</v>
      </c>
      <c r="G175" s="6" t="s">
        <v>14</v>
      </c>
    </row>
    <row r="176" spans="1:7" x14ac:dyDescent="0.2">
      <c r="A176" s="6" t="s">
        <v>398</v>
      </c>
      <c r="B176" s="7" t="s">
        <v>505</v>
      </c>
      <c r="C176" s="7" t="s">
        <v>491</v>
      </c>
      <c r="D176" s="7" t="s">
        <v>19</v>
      </c>
      <c r="E176" s="8">
        <v>879.11</v>
      </c>
      <c r="F176" s="9">
        <v>1</v>
      </c>
      <c r="G176" s="6" t="s">
        <v>399</v>
      </c>
    </row>
    <row r="177" spans="1:7" x14ac:dyDescent="0.2">
      <c r="A177" s="6" t="s">
        <v>398</v>
      </c>
      <c r="B177" s="7" t="s">
        <v>495</v>
      </c>
      <c r="C177" s="7" t="s">
        <v>482</v>
      </c>
      <c r="D177" s="7" t="s">
        <v>15</v>
      </c>
      <c r="E177" s="8">
        <v>250.25</v>
      </c>
      <c r="F177" s="9">
        <v>5</v>
      </c>
      <c r="G177" s="6" t="s">
        <v>545</v>
      </c>
    </row>
    <row r="178" spans="1:7" x14ac:dyDescent="0.2">
      <c r="A178" s="6" t="s">
        <v>546</v>
      </c>
      <c r="B178" s="7" t="s">
        <v>509</v>
      </c>
      <c r="C178" s="7" t="s">
        <v>491</v>
      </c>
      <c r="D178" s="7" t="s">
        <v>9</v>
      </c>
      <c r="E178" s="8">
        <v>492.22</v>
      </c>
      <c r="F178" s="9">
        <v>7</v>
      </c>
      <c r="G178" s="6" t="s">
        <v>136</v>
      </c>
    </row>
    <row r="179" spans="1:7" x14ac:dyDescent="0.2">
      <c r="A179" s="6" t="s">
        <v>546</v>
      </c>
      <c r="B179" s="7" t="s">
        <v>516</v>
      </c>
      <c r="C179" s="7" t="s">
        <v>482</v>
      </c>
      <c r="D179" s="7" t="s">
        <v>9</v>
      </c>
      <c r="E179" s="8">
        <v>450.32</v>
      </c>
      <c r="F179" s="9">
        <v>11</v>
      </c>
      <c r="G179" s="6" t="s">
        <v>547</v>
      </c>
    </row>
    <row r="180" spans="1:7" x14ac:dyDescent="0.2">
      <c r="A180" s="6" t="s">
        <v>548</v>
      </c>
      <c r="B180" s="7" t="s">
        <v>509</v>
      </c>
      <c r="C180" s="7" t="s">
        <v>491</v>
      </c>
      <c r="D180" s="7" t="s">
        <v>19</v>
      </c>
      <c r="E180" s="8">
        <v>494.76</v>
      </c>
      <c r="F180" s="9">
        <v>6</v>
      </c>
      <c r="G180" s="6" t="s">
        <v>56</v>
      </c>
    </row>
    <row r="181" spans="1:7" x14ac:dyDescent="0.2">
      <c r="A181" s="6" t="s">
        <v>548</v>
      </c>
      <c r="B181" s="7" t="s">
        <v>509</v>
      </c>
      <c r="C181" s="7" t="s">
        <v>491</v>
      </c>
      <c r="D181" s="7" t="s">
        <v>12</v>
      </c>
      <c r="E181" s="8">
        <v>489.89</v>
      </c>
      <c r="F181" s="9">
        <v>12</v>
      </c>
      <c r="G181" s="6" t="s">
        <v>210</v>
      </c>
    </row>
    <row r="182" spans="1:7" x14ac:dyDescent="0.2">
      <c r="A182" s="6" t="s">
        <v>244</v>
      </c>
      <c r="B182" s="7" t="s">
        <v>504</v>
      </c>
      <c r="C182" s="7" t="s">
        <v>482</v>
      </c>
      <c r="D182" s="7" t="s">
        <v>9</v>
      </c>
      <c r="E182" s="8">
        <v>133.26</v>
      </c>
      <c r="F182" s="9">
        <v>18</v>
      </c>
      <c r="G182" s="6" t="s">
        <v>245</v>
      </c>
    </row>
    <row r="183" spans="1:7" x14ac:dyDescent="0.2">
      <c r="A183" s="6" t="s">
        <v>201</v>
      </c>
      <c r="B183" s="7" t="s">
        <v>527</v>
      </c>
      <c r="C183" s="7" t="s">
        <v>482</v>
      </c>
      <c r="D183" s="7" t="s">
        <v>19</v>
      </c>
      <c r="E183" s="8">
        <v>196.72</v>
      </c>
      <c r="F183" s="9">
        <v>9</v>
      </c>
      <c r="G183" s="6" t="s">
        <v>202</v>
      </c>
    </row>
    <row r="184" spans="1:7" x14ac:dyDescent="0.2">
      <c r="A184" s="6" t="s">
        <v>420</v>
      </c>
      <c r="B184" s="7" t="s">
        <v>509</v>
      </c>
      <c r="C184" s="7" t="s">
        <v>491</v>
      </c>
      <c r="D184" s="7" t="s">
        <v>19</v>
      </c>
      <c r="E184" s="8">
        <v>488.88</v>
      </c>
      <c r="F184" s="9">
        <v>12</v>
      </c>
      <c r="G184" s="6" t="s">
        <v>421</v>
      </c>
    </row>
    <row r="185" spans="1:7" x14ac:dyDescent="0.2">
      <c r="A185" s="6" t="s">
        <v>549</v>
      </c>
      <c r="B185" s="7" t="s">
        <v>509</v>
      </c>
      <c r="C185" s="7" t="s">
        <v>491</v>
      </c>
      <c r="D185" s="7" t="s">
        <v>19</v>
      </c>
      <c r="E185" s="8">
        <v>509.11</v>
      </c>
      <c r="F185" s="9">
        <v>13</v>
      </c>
      <c r="G185" s="6" t="s">
        <v>86</v>
      </c>
    </row>
    <row r="186" spans="1:7" x14ac:dyDescent="0.2">
      <c r="A186" s="6" t="s">
        <v>549</v>
      </c>
      <c r="B186" s="7" t="s">
        <v>506</v>
      </c>
      <c r="C186" s="7" t="s">
        <v>491</v>
      </c>
      <c r="D186" s="7" t="s">
        <v>12</v>
      </c>
      <c r="E186" s="8">
        <v>1351.49</v>
      </c>
      <c r="F186" s="9">
        <v>4</v>
      </c>
      <c r="G186" s="6" t="s">
        <v>315</v>
      </c>
    </row>
    <row r="187" spans="1:7" x14ac:dyDescent="0.2">
      <c r="A187" s="6" t="s">
        <v>93</v>
      </c>
      <c r="B187" s="7" t="s">
        <v>525</v>
      </c>
      <c r="C187" s="7" t="s">
        <v>25</v>
      </c>
      <c r="D187" s="7" t="s">
        <v>15</v>
      </c>
      <c r="E187" s="8">
        <v>41.16</v>
      </c>
      <c r="F187" s="9">
        <v>46</v>
      </c>
      <c r="G187" s="6" t="s">
        <v>94</v>
      </c>
    </row>
    <row r="188" spans="1:7" x14ac:dyDescent="0.2">
      <c r="A188" s="6" t="s">
        <v>129</v>
      </c>
      <c r="B188" s="7" t="s">
        <v>492</v>
      </c>
      <c r="C188" s="7" t="s">
        <v>25</v>
      </c>
      <c r="D188" s="7" t="s">
        <v>19</v>
      </c>
      <c r="E188" s="8">
        <v>53.82</v>
      </c>
      <c r="F188" s="9">
        <v>18</v>
      </c>
      <c r="G188" s="6" t="s">
        <v>130</v>
      </c>
    </row>
    <row r="189" spans="1:7" x14ac:dyDescent="0.2">
      <c r="A189" s="6" t="s">
        <v>129</v>
      </c>
      <c r="B189" s="7" t="s">
        <v>495</v>
      </c>
      <c r="C189" s="7" t="s">
        <v>482</v>
      </c>
      <c r="D189" s="7" t="s">
        <v>15</v>
      </c>
      <c r="E189" s="8">
        <v>250</v>
      </c>
      <c r="F189" s="9">
        <v>10</v>
      </c>
      <c r="G189" s="6" t="s">
        <v>550</v>
      </c>
    </row>
    <row r="190" spans="1:7" x14ac:dyDescent="0.2">
      <c r="A190" s="6" t="s">
        <v>129</v>
      </c>
      <c r="B190" s="7" t="s">
        <v>507</v>
      </c>
      <c r="C190" s="7" t="s">
        <v>25</v>
      </c>
      <c r="D190" s="7" t="s">
        <v>9</v>
      </c>
      <c r="E190" s="8">
        <v>25.13</v>
      </c>
      <c r="F190" s="9">
        <v>51</v>
      </c>
      <c r="G190" s="6" t="s">
        <v>265</v>
      </c>
    </row>
    <row r="191" spans="1:7" x14ac:dyDescent="0.2">
      <c r="A191" s="6" t="s">
        <v>151</v>
      </c>
      <c r="B191" s="7" t="s">
        <v>506</v>
      </c>
      <c r="C191" s="7" t="s">
        <v>491</v>
      </c>
      <c r="D191" s="7" t="s">
        <v>12</v>
      </c>
      <c r="E191" s="8">
        <v>1387.47</v>
      </c>
      <c r="F191" s="9">
        <v>4</v>
      </c>
      <c r="G191" s="6" t="s">
        <v>152</v>
      </c>
    </row>
    <row r="192" spans="1:7" x14ac:dyDescent="0.2">
      <c r="A192" s="6" t="s">
        <v>272</v>
      </c>
      <c r="B192" s="7" t="s">
        <v>511</v>
      </c>
      <c r="C192" s="7" t="s">
        <v>482</v>
      </c>
      <c r="D192" s="7" t="s">
        <v>12</v>
      </c>
      <c r="E192" s="8">
        <v>85.06</v>
      </c>
      <c r="F192" s="9">
        <v>43</v>
      </c>
      <c r="G192" s="6" t="s">
        <v>273</v>
      </c>
    </row>
    <row r="193" spans="1:7" x14ac:dyDescent="0.2">
      <c r="A193" s="6" t="s">
        <v>272</v>
      </c>
      <c r="B193" s="7" t="s">
        <v>503</v>
      </c>
      <c r="C193" s="7" t="s">
        <v>488</v>
      </c>
      <c r="D193" s="7" t="s">
        <v>12</v>
      </c>
      <c r="E193" s="8">
        <v>10.33</v>
      </c>
      <c r="F193" s="9">
        <v>202</v>
      </c>
      <c r="G193" s="6" t="s">
        <v>388</v>
      </c>
    </row>
    <row r="194" spans="1:7" x14ac:dyDescent="0.2">
      <c r="A194" s="6" t="s">
        <v>272</v>
      </c>
      <c r="B194" s="7" t="s">
        <v>503</v>
      </c>
      <c r="C194" s="7" t="s">
        <v>488</v>
      </c>
      <c r="D194" s="7" t="s">
        <v>6</v>
      </c>
      <c r="E194" s="8">
        <v>10.33</v>
      </c>
      <c r="F194" s="9">
        <v>202</v>
      </c>
      <c r="G194" s="6" t="s">
        <v>389</v>
      </c>
    </row>
    <row r="195" spans="1:7" x14ac:dyDescent="0.2">
      <c r="A195" s="6" t="s">
        <v>168</v>
      </c>
      <c r="B195" s="7" t="s">
        <v>506</v>
      </c>
      <c r="C195" s="7" t="s">
        <v>491</v>
      </c>
      <c r="D195" s="7" t="s">
        <v>15</v>
      </c>
      <c r="E195" s="8">
        <v>1380.82</v>
      </c>
      <c r="F195" s="9">
        <v>10</v>
      </c>
      <c r="G195" s="6" t="s">
        <v>251</v>
      </c>
    </row>
    <row r="196" spans="1:7" x14ac:dyDescent="0.2">
      <c r="A196" s="6" t="s">
        <v>168</v>
      </c>
      <c r="B196" s="7" t="s">
        <v>505</v>
      </c>
      <c r="C196" s="7" t="s">
        <v>491</v>
      </c>
      <c r="D196" s="7" t="s">
        <v>12</v>
      </c>
      <c r="E196" s="8">
        <v>817.52</v>
      </c>
      <c r="F196" s="9">
        <v>4</v>
      </c>
      <c r="G196" s="6" t="s">
        <v>169</v>
      </c>
    </row>
    <row r="197" spans="1:7" x14ac:dyDescent="0.2">
      <c r="A197" s="6" t="s">
        <v>551</v>
      </c>
      <c r="B197" s="7" t="s">
        <v>503</v>
      </c>
      <c r="C197" s="7" t="s">
        <v>488</v>
      </c>
      <c r="D197" s="7" t="s">
        <v>19</v>
      </c>
      <c r="E197" s="8">
        <v>9.61</v>
      </c>
      <c r="F197" s="9">
        <v>197</v>
      </c>
      <c r="G197" s="6" t="s">
        <v>239</v>
      </c>
    </row>
    <row r="198" spans="1:7" x14ac:dyDescent="0.2">
      <c r="A198" s="6" t="s">
        <v>552</v>
      </c>
      <c r="B198" s="7" t="s">
        <v>508</v>
      </c>
      <c r="C198" s="7" t="s">
        <v>25</v>
      </c>
      <c r="D198" s="7" t="s">
        <v>12</v>
      </c>
      <c r="E198" s="8">
        <v>12.6</v>
      </c>
      <c r="F198" s="9">
        <v>99</v>
      </c>
      <c r="G198" s="6" t="s">
        <v>246</v>
      </c>
    </row>
    <row r="199" spans="1:7" x14ac:dyDescent="0.2">
      <c r="A199" s="6" t="s">
        <v>159</v>
      </c>
      <c r="B199" s="7" t="s">
        <v>530</v>
      </c>
      <c r="C199" s="7" t="s">
        <v>25</v>
      </c>
      <c r="D199" s="7" t="s">
        <v>15</v>
      </c>
      <c r="E199" s="8">
        <v>14.61</v>
      </c>
      <c r="F199" s="9">
        <v>30</v>
      </c>
      <c r="G199" s="6" t="s">
        <v>402</v>
      </c>
    </row>
    <row r="200" spans="1:7" x14ac:dyDescent="0.2">
      <c r="A200" s="6" t="s">
        <v>159</v>
      </c>
      <c r="B200" s="7" t="s">
        <v>490</v>
      </c>
      <c r="C200" s="7" t="s">
        <v>491</v>
      </c>
      <c r="D200" s="7" t="s">
        <v>9</v>
      </c>
      <c r="E200" s="8">
        <v>97.94</v>
      </c>
      <c r="F200" s="9">
        <v>10</v>
      </c>
      <c r="G200" s="6" t="s">
        <v>160</v>
      </c>
    </row>
    <row r="201" spans="1:7" x14ac:dyDescent="0.2">
      <c r="A201" s="6" t="s">
        <v>354</v>
      </c>
      <c r="B201" s="7" t="s">
        <v>490</v>
      </c>
      <c r="C201" s="7" t="s">
        <v>491</v>
      </c>
      <c r="D201" s="7" t="s">
        <v>15</v>
      </c>
      <c r="E201" s="8">
        <v>92.54</v>
      </c>
      <c r="F201" s="9">
        <v>15</v>
      </c>
      <c r="G201" s="6" t="s">
        <v>355</v>
      </c>
    </row>
    <row r="202" spans="1:7" x14ac:dyDescent="0.2">
      <c r="A202" s="6" t="s">
        <v>199</v>
      </c>
      <c r="B202" s="7" t="s">
        <v>22</v>
      </c>
      <c r="C202" s="7" t="s">
        <v>482</v>
      </c>
      <c r="D202" s="7" t="s">
        <v>6</v>
      </c>
      <c r="E202" s="8">
        <v>160.82</v>
      </c>
      <c r="F202" s="9">
        <v>19</v>
      </c>
      <c r="G202" s="6" t="s">
        <v>186</v>
      </c>
    </row>
    <row r="203" spans="1:7" x14ac:dyDescent="0.2">
      <c r="A203" s="6" t="s">
        <v>199</v>
      </c>
      <c r="B203" s="7" t="s">
        <v>489</v>
      </c>
      <c r="C203" s="7" t="s">
        <v>482</v>
      </c>
      <c r="D203" s="7" t="s">
        <v>12</v>
      </c>
      <c r="E203" s="8">
        <v>387.29</v>
      </c>
      <c r="F203" s="9">
        <v>11</v>
      </c>
      <c r="G203" s="6" t="s">
        <v>200</v>
      </c>
    </row>
    <row r="204" spans="1:7" x14ac:dyDescent="0.2">
      <c r="A204" s="6" t="s">
        <v>16</v>
      </c>
      <c r="B204" s="7" t="s">
        <v>527</v>
      </c>
      <c r="C204" s="7" t="s">
        <v>482</v>
      </c>
      <c r="D204" s="7" t="s">
        <v>9</v>
      </c>
      <c r="E204" s="8">
        <v>199.99</v>
      </c>
      <c r="F204" s="9">
        <v>8</v>
      </c>
      <c r="G204" s="6" t="s">
        <v>17</v>
      </c>
    </row>
    <row r="205" spans="1:7" x14ac:dyDescent="0.2">
      <c r="A205" s="6" t="s">
        <v>166</v>
      </c>
      <c r="B205" s="7" t="s">
        <v>509</v>
      </c>
      <c r="C205" s="7" t="s">
        <v>491</v>
      </c>
      <c r="D205" s="7" t="s">
        <v>9</v>
      </c>
      <c r="E205" s="8">
        <v>486.39</v>
      </c>
      <c r="F205" s="9">
        <v>12</v>
      </c>
      <c r="G205" s="6" t="s">
        <v>271</v>
      </c>
    </row>
    <row r="206" spans="1:7" x14ac:dyDescent="0.2">
      <c r="A206" s="6" t="s">
        <v>166</v>
      </c>
      <c r="B206" s="7" t="s">
        <v>530</v>
      </c>
      <c r="C206" s="7" t="s">
        <v>25</v>
      </c>
      <c r="D206" s="7" t="s">
        <v>9</v>
      </c>
      <c r="E206" s="8">
        <v>15.2</v>
      </c>
      <c r="F206" s="9">
        <v>92</v>
      </c>
      <c r="G206" s="6" t="s">
        <v>167</v>
      </c>
    </row>
    <row r="207" spans="1:7" x14ac:dyDescent="0.2">
      <c r="A207" s="6" t="s">
        <v>69</v>
      </c>
      <c r="B207" s="7" t="s">
        <v>505</v>
      </c>
      <c r="C207" s="7" t="s">
        <v>491</v>
      </c>
      <c r="D207" s="7" t="s">
        <v>19</v>
      </c>
      <c r="E207" s="8">
        <v>883.51</v>
      </c>
      <c r="F207" s="9">
        <v>8</v>
      </c>
      <c r="G207" s="6" t="s">
        <v>70</v>
      </c>
    </row>
    <row r="208" spans="1:7" x14ac:dyDescent="0.2">
      <c r="A208" s="6" t="s">
        <v>308</v>
      </c>
      <c r="B208" s="7" t="s">
        <v>513</v>
      </c>
      <c r="C208" s="7" t="s">
        <v>25</v>
      </c>
      <c r="D208" s="7" t="s">
        <v>15</v>
      </c>
      <c r="E208" s="8">
        <v>19.05</v>
      </c>
      <c r="F208" s="9">
        <v>82</v>
      </c>
      <c r="G208" s="6" t="s">
        <v>309</v>
      </c>
    </row>
    <row r="209" spans="1:7" x14ac:dyDescent="0.2">
      <c r="A209" s="6" t="s">
        <v>383</v>
      </c>
      <c r="B209" s="7" t="s">
        <v>507</v>
      </c>
      <c r="C209" s="7" t="s">
        <v>25</v>
      </c>
      <c r="D209" s="7" t="s">
        <v>19</v>
      </c>
      <c r="E209" s="8">
        <v>26.72</v>
      </c>
      <c r="F209" s="9">
        <v>54</v>
      </c>
      <c r="G209" s="6" t="s">
        <v>384</v>
      </c>
    </row>
    <row r="210" spans="1:7" x14ac:dyDescent="0.2">
      <c r="A210" s="6" t="s">
        <v>383</v>
      </c>
      <c r="B210" s="7" t="s">
        <v>506</v>
      </c>
      <c r="C210" s="7" t="s">
        <v>491</v>
      </c>
      <c r="D210" s="7" t="s">
        <v>12</v>
      </c>
      <c r="E210" s="8">
        <v>1360.41</v>
      </c>
      <c r="F210" s="9">
        <v>9</v>
      </c>
      <c r="G210" s="6" t="s">
        <v>417</v>
      </c>
    </row>
    <row r="211" spans="1:7" x14ac:dyDescent="0.2">
      <c r="A211" s="6" t="s">
        <v>18</v>
      </c>
      <c r="B211" s="7" t="s">
        <v>489</v>
      </c>
      <c r="C211" s="7" t="s">
        <v>482</v>
      </c>
      <c r="D211" s="7" t="s">
        <v>19</v>
      </c>
      <c r="E211" s="8">
        <v>399.99</v>
      </c>
      <c r="F211" s="9">
        <v>12</v>
      </c>
      <c r="G211" s="6" t="s">
        <v>20</v>
      </c>
    </row>
    <row r="212" spans="1:7" x14ac:dyDescent="0.2">
      <c r="A212" s="6" t="s">
        <v>311</v>
      </c>
      <c r="B212" s="7" t="s">
        <v>528</v>
      </c>
      <c r="C212" s="7" t="s">
        <v>488</v>
      </c>
      <c r="D212" s="7" t="s">
        <v>9</v>
      </c>
      <c r="E212" s="8">
        <v>875.29</v>
      </c>
      <c r="F212" s="9">
        <v>8</v>
      </c>
      <c r="G212" s="6" t="s">
        <v>312</v>
      </c>
    </row>
    <row r="213" spans="1:7" x14ac:dyDescent="0.2">
      <c r="A213" s="6" t="s">
        <v>208</v>
      </c>
      <c r="B213" s="7" t="s">
        <v>489</v>
      </c>
      <c r="C213" s="7" t="s">
        <v>482</v>
      </c>
      <c r="D213" s="7" t="s">
        <v>12</v>
      </c>
      <c r="E213" s="8">
        <v>413.34</v>
      </c>
      <c r="F213" s="9">
        <v>11</v>
      </c>
      <c r="G213" s="6" t="s">
        <v>209</v>
      </c>
    </row>
    <row r="214" spans="1:7" x14ac:dyDescent="0.2">
      <c r="A214" s="6" t="s">
        <v>35</v>
      </c>
      <c r="B214" s="7" t="s">
        <v>483</v>
      </c>
      <c r="C214" s="7" t="s">
        <v>482</v>
      </c>
      <c r="D214" s="7" t="s">
        <v>12</v>
      </c>
      <c r="E214" s="8">
        <v>76.319999999999993</v>
      </c>
      <c r="F214" s="9">
        <v>35</v>
      </c>
      <c r="G214" s="6" t="s">
        <v>36</v>
      </c>
    </row>
    <row r="215" spans="1:7" x14ac:dyDescent="0.2">
      <c r="A215" s="6" t="s">
        <v>35</v>
      </c>
      <c r="B215" s="7" t="s">
        <v>484</v>
      </c>
      <c r="C215" s="7" t="s">
        <v>25</v>
      </c>
      <c r="D215" s="7" t="s">
        <v>9</v>
      </c>
      <c r="E215" s="8">
        <v>37.520000000000003</v>
      </c>
      <c r="F215" s="9">
        <v>34</v>
      </c>
      <c r="G215" s="6" t="s">
        <v>416</v>
      </c>
    </row>
    <row r="216" spans="1:7" x14ac:dyDescent="0.2">
      <c r="A216" s="6" t="s">
        <v>381</v>
      </c>
      <c r="B216" s="7" t="s">
        <v>498</v>
      </c>
      <c r="C216" s="7" t="s">
        <v>491</v>
      </c>
      <c r="D216" s="7" t="s">
        <v>15</v>
      </c>
      <c r="E216" s="8">
        <v>124.3</v>
      </c>
      <c r="F216" s="9">
        <v>10</v>
      </c>
      <c r="G216" s="6" t="s">
        <v>382</v>
      </c>
    </row>
    <row r="217" spans="1:7" x14ac:dyDescent="0.2">
      <c r="A217" s="6" t="s">
        <v>189</v>
      </c>
      <c r="B217" s="7" t="s">
        <v>499</v>
      </c>
      <c r="C217" s="7" t="s">
        <v>488</v>
      </c>
      <c r="D217" s="7" t="s">
        <v>15</v>
      </c>
      <c r="E217" s="8">
        <v>1085.26</v>
      </c>
      <c r="F217" s="9">
        <v>5</v>
      </c>
      <c r="G217" s="6" t="s">
        <v>190</v>
      </c>
    </row>
    <row r="218" spans="1:7" x14ac:dyDescent="0.2">
      <c r="A218" s="6" t="s">
        <v>189</v>
      </c>
      <c r="B218" s="7" t="s">
        <v>500</v>
      </c>
      <c r="C218" s="7" t="s">
        <v>25</v>
      </c>
      <c r="D218" s="7" t="s">
        <v>15</v>
      </c>
      <c r="E218" s="8">
        <v>23.33</v>
      </c>
      <c r="F218" s="9">
        <v>60</v>
      </c>
      <c r="G218" s="6" t="s">
        <v>553</v>
      </c>
    </row>
    <row r="219" spans="1:7" x14ac:dyDescent="0.2">
      <c r="A219" s="6" t="s">
        <v>149</v>
      </c>
      <c r="B219" s="7" t="s">
        <v>504</v>
      </c>
      <c r="C219" s="7" t="s">
        <v>482</v>
      </c>
      <c r="D219" s="7" t="s">
        <v>12</v>
      </c>
      <c r="E219" s="8">
        <v>135.96</v>
      </c>
      <c r="F219" s="9">
        <v>20</v>
      </c>
      <c r="G219" s="6" t="s">
        <v>150</v>
      </c>
    </row>
    <row r="220" spans="1:7" x14ac:dyDescent="0.2">
      <c r="A220" s="6" t="s">
        <v>149</v>
      </c>
      <c r="B220" s="7" t="s">
        <v>506</v>
      </c>
      <c r="C220" s="7" t="s">
        <v>491</v>
      </c>
      <c r="D220" s="7" t="s">
        <v>9</v>
      </c>
      <c r="E220" s="8">
        <v>1304.21</v>
      </c>
      <c r="F220" s="9">
        <v>9</v>
      </c>
      <c r="G220" s="6" t="s">
        <v>233</v>
      </c>
    </row>
    <row r="221" spans="1:7" x14ac:dyDescent="0.2">
      <c r="A221" s="6" t="s">
        <v>21</v>
      </c>
      <c r="B221" s="7" t="s">
        <v>22</v>
      </c>
      <c r="C221" s="7" t="s">
        <v>482</v>
      </c>
      <c r="D221" s="7" t="s">
        <v>9</v>
      </c>
      <c r="E221" s="8">
        <v>159.99</v>
      </c>
      <c r="F221" s="9">
        <v>20</v>
      </c>
      <c r="G221" s="6" t="s">
        <v>23</v>
      </c>
    </row>
    <row r="222" spans="1:7" x14ac:dyDescent="0.2">
      <c r="A222" s="6" t="s">
        <v>554</v>
      </c>
      <c r="B222" s="7" t="s">
        <v>500</v>
      </c>
      <c r="C222" s="7" t="s">
        <v>25</v>
      </c>
      <c r="D222" s="7" t="s">
        <v>12</v>
      </c>
      <c r="E222" s="8">
        <v>21.84</v>
      </c>
      <c r="F222" s="9">
        <v>59</v>
      </c>
      <c r="G222" s="6" t="s">
        <v>555</v>
      </c>
    </row>
    <row r="223" spans="1:7" x14ac:dyDescent="0.2">
      <c r="A223" s="6" t="s">
        <v>556</v>
      </c>
      <c r="B223" s="7" t="s">
        <v>495</v>
      </c>
      <c r="C223" s="7" t="s">
        <v>482</v>
      </c>
      <c r="D223" s="7" t="s">
        <v>6</v>
      </c>
      <c r="E223" s="8">
        <v>258.43</v>
      </c>
      <c r="F223" s="9">
        <v>12</v>
      </c>
      <c r="G223" s="6" t="s">
        <v>557</v>
      </c>
    </row>
    <row r="224" spans="1:7" x14ac:dyDescent="0.2">
      <c r="A224" s="6" t="s">
        <v>302</v>
      </c>
      <c r="B224" s="7" t="s">
        <v>503</v>
      </c>
      <c r="C224" s="7" t="s">
        <v>488</v>
      </c>
      <c r="D224" s="7" t="s">
        <v>6</v>
      </c>
      <c r="E224" s="8">
        <v>9.58</v>
      </c>
      <c r="F224" s="9">
        <v>200</v>
      </c>
      <c r="G224" s="6" t="s">
        <v>303</v>
      </c>
    </row>
    <row r="225" spans="1:7" x14ac:dyDescent="0.2">
      <c r="A225" s="6" t="s">
        <v>558</v>
      </c>
      <c r="B225" s="7" t="s">
        <v>483</v>
      </c>
      <c r="C225" s="7" t="s">
        <v>482</v>
      </c>
      <c r="D225" s="7" t="s">
        <v>15</v>
      </c>
      <c r="E225" s="8">
        <v>76.78</v>
      </c>
      <c r="F225" s="9">
        <v>34</v>
      </c>
      <c r="G225" s="6" t="s">
        <v>426</v>
      </c>
    </row>
    <row r="226" spans="1:7" x14ac:dyDescent="0.2">
      <c r="A226" s="6" t="s">
        <v>295</v>
      </c>
      <c r="B226" s="7" t="s">
        <v>515</v>
      </c>
      <c r="C226" s="7" t="s">
        <v>482</v>
      </c>
      <c r="D226" s="7" t="s">
        <v>15</v>
      </c>
      <c r="E226" s="8">
        <v>45.55</v>
      </c>
      <c r="F226" s="9">
        <v>31</v>
      </c>
      <c r="G226" s="6" t="s">
        <v>296</v>
      </c>
    </row>
    <row r="227" spans="1:7" x14ac:dyDescent="0.2">
      <c r="A227" s="6" t="s">
        <v>80</v>
      </c>
      <c r="B227" s="7" t="s">
        <v>515</v>
      </c>
      <c r="C227" s="7" t="s">
        <v>482</v>
      </c>
      <c r="D227" s="7" t="s">
        <v>12</v>
      </c>
      <c r="E227" s="8">
        <v>44.21</v>
      </c>
      <c r="F227" s="9">
        <v>32</v>
      </c>
      <c r="G227" s="6" t="s">
        <v>81</v>
      </c>
    </row>
    <row r="228" spans="1:7" x14ac:dyDescent="0.2">
      <c r="A228" s="6" t="s">
        <v>80</v>
      </c>
      <c r="B228" s="7" t="s">
        <v>503</v>
      </c>
      <c r="C228" s="7" t="s">
        <v>488</v>
      </c>
      <c r="D228" s="7" t="s">
        <v>12</v>
      </c>
      <c r="E228" s="8">
        <v>9.6199999999999992</v>
      </c>
      <c r="F228" s="9">
        <v>199</v>
      </c>
      <c r="G228" s="6" t="s">
        <v>359</v>
      </c>
    </row>
    <row r="229" spans="1:7" x14ac:dyDescent="0.2">
      <c r="A229" s="6" t="s">
        <v>24</v>
      </c>
      <c r="B229" s="7" t="s">
        <v>508</v>
      </c>
      <c r="C229" s="7" t="s">
        <v>25</v>
      </c>
      <c r="D229" s="7" t="s">
        <v>12</v>
      </c>
      <c r="E229" s="8">
        <v>12.99</v>
      </c>
      <c r="F229" s="9">
        <v>100</v>
      </c>
      <c r="G229" s="6" t="s">
        <v>26</v>
      </c>
    </row>
    <row r="230" spans="1:7" x14ac:dyDescent="0.2">
      <c r="A230" s="6" t="s">
        <v>116</v>
      </c>
      <c r="B230" s="7" t="s">
        <v>528</v>
      </c>
      <c r="C230" s="7" t="s">
        <v>488</v>
      </c>
      <c r="D230" s="7" t="s">
        <v>19</v>
      </c>
      <c r="E230" s="8">
        <v>912.76</v>
      </c>
      <c r="F230" s="9">
        <v>15</v>
      </c>
      <c r="G230" s="6" t="s">
        <v>121</v>
      </c>
    </row>
    <row r="231" spans="1:7" x14ac:dyDescent="0.2">
      <c r="A231" s="6" t="s">
        <v>116</v>
      </c>
      <c r="B231" s="7" t="s">
        <v>493</v>
      </c>
      <c r="C231" s="7" t="s">
        <v>482</v>
      </c>
      <c r="D231" s="7" t="s">
        <v>12</v>
      </c>
      <c r="E231" s="8">
        <v>930.92</v>
      </c>
      <c r="F231" s="9">
        <v>14</v>
      </c>
      <c r="G231" s="6" t="s">
        <v>117</v>
      </c>
    </row>
    <row r="232" spans="1:7" x14ac:dyDescent="0.2">
      <c r="A232" s="6" t="s">
        <v>116</v>
      </c>
      <c r="B232" s="7" t="s">
        <v>490</v>
      </c>
      <c r="C232" s="7" t="s">
        <v>491</v>
      </c>
      <c r="D232" s="7" t="s">
        <v>9</v>
      </c>
      <c r="E232" s="8">
        <v>92.35</v>
      </c>
      <c r="F232" s="9">
        <v>11</v>
      </c>
      <c r="G232" s="6" t="s">
        <v>356</v>
      </c>
    </row>
    <row r="233" spans="1:7" x14ac:dyDescent="0.2">
      <c r="A233" s="6" t="s">
        <v>262</v>
      </c>
      <c r="B233" s="7" t="s">
        <v>527</v>
      </c>
      <c r="C233" s="7" t="s">
        <v>482</v>
      </c>
      <c r="D233" s="7" t="s">
        <v>12</v>
      </c>
      <c r="E233" s="8">
        <v>190.29</v>
      </c>
      <c r="F233" s="9">
        <v>6</v>
      </c>
      <c r="G233" s="6" t="s">
        <v>263</v>
      </c>
    </row>
    <row r="234" spans="1:7" x14ac:dyDescent="0.2">
      <c r="A234" s="6" t="s">
        <v>40</v>
      </c>
      <c r="B234" s="7" t="s">
        <v>507</v>
      </c>
      <c r="C234" s="7" t="s">
        <v>25</v>
      </c>
      <c r="D234" s="7" t="s">
        <v>12</v>
      </c>
      <c r="E234" s="8">
        <v>25.24</v>
      </c>
      <c r="F234" s="9">
        <v>19</v>
      </c>
      <c r="G234" s="6" t="s">
        <v>406</v>
      </c>
    </row>
    <row r="235" spans="1:7" x14ac:dyDescent="0.2">
      <c r="A235" s="6" t="s">
        <v>40</v>
      </c>
      <c r="B235" s="7" t="s">
        <v>509</v>
      </c>
      <c r="C235" s="7" t="s">
        <v>491</v>
      </c>
      <c r="D235" s="7" t="s">
        <v>6</v>
      </c>
      <c r="E235" s="8">
        <v>504.98</v>
      </c>
      <c r="F235" s="9">
        <v>13</v>
      </c>
      <c r="G235" s="6" t="s">
        <v>41</v>
      </c>
    </row>
    <row r="236" spans="1:7" x14ac:dyDescent="0.2">
      <c r="A236" s="6" t="s">
        <v>40</v>
      </c>
      <c r="B236" s="7" t="s">
        <v>495</v>
      </c>
      <c r="C236" s="7" t="s">
        <v>482</v>
      </c>
      <c r="D236" s="7" t="s">
        <v>15</v>
      </c>
      <c r="E236" s="8">
        <v>238.22</v>
      </c>
      <c r="F236" s="9">
        <v>12</v>
      </c>
      <c r="G236" s="6" t="s">
        <v>559</v>
      </c>
    </row>
    <row r="237" spans="1:7" x14ac:dyDescent="0.2">
      <c r="A237" s="6" t="s">
        <v>40</v>
      </c>
      <c r="B237" s="7" t="s">
        <v>505</v>
      </c>
      <c r="C237" s="7" t="s">
        <v>491</v>
      </c>
      <c r="D237" s="7" t="s">
        <v>12</v>
      </c>
      <c r="E237" s="8">
        <v>870.81</v>
      </c>
      <c r="F237" s="9">
        <v>3</v>
      </c>
      <c r="G237" s="6" t="s">
        <v>441</v>
      </c>
    </row>
    <row r="238" spans="1:7" x14ac:dyDescent="0.2">
      <c r="A238" s="6" t="s">
        <v>204</v>
      </c>
      <c r="B238" s="7" t="s">
        <v>499</v>
      </c>
      <c r="C238" s="7" t="s">
        <v>488</v>
      </c>
      <c r="D238" s="7" t="s">
        <v>6</v>
      </c>
      <c r="E238" s="8">
        <v>1115.2</v>
      </c>
      <c r="F238" s="9">
        <v>5</v>
      </c>
      <c r="G238" s="6" t="s">
        <v>205</v>
      </c>
    </row>
    <row r="239" spans="1:7" x14ac:dyDescent="0.2">
      <c r="A239" s="6" t="s">
        <v>560</v>
      </c>
      <c r="B239" s="7" t="s">
        <v>518</v>
      </c>
      <c r="C239" s="7" t="s">
        <v>482</v>
      </c>
      <c r="D239" s="7" t="s">
        <v>12</v>
      </c>
      <c r="E239" s="8">
        <v>1157.1199999999999</v>
      </c>
      <c r="F239" s="9">
        <v>8</v>
      </c>
      <c r="G239" s="6" t="s">
        <v>225</v>
      </c>
    </row>
    <row r="240" spans="1:7" x14ac:dyDescent="0.2">
      <c r="A240" s="6" t="s">
        <v>27</v>
      </c>
      <c r="B240" s="7" t="s">
        <v>492</v>
      </c>
      <c r="C240" s="7" t="s">
        <v>25</v>
      </c>
      <c r="D240" s="7" t="s">
        <v>12</v>
      </c>
      <c r="E240" s="8">
        <v>53.28</v>
      </c>
      <c r="F240" s="9">
        <v>24</v>
      </c>
      <c r="G240" s="6" t="s">
        <v>337</v>
      </c>
    </row>
    <row r="241" spans="1:7" x14ac:dyDescent="0.2">
      <c r="A241" s="6" t="s">
        <v>27</v>
      </c>
      <c r="B241" s="7" t="s">
        <v>507</v>
      </c>
      <c r="C241" s="7" t="s">
        <v>25</v>
      </c>
      <c r="D241" s="7" t="s">
        <v>6</v>
      </c>
      <c r="E241" s="8">
        <v>25.99</v>
      </c>
      <c r="F241" s="9">
        <v>50</v>
      </c>
      <c r="G241" s="6" t="s">
        <v>28</v>
      </c>
    </row>
    <row r="242" spans="1:7" x14ac:dyDescent="0.2">
      <c r="A242" s="6" t="s">
        <v>561</v>
      </c>
      <c r="B242" s="7" t="s">
        <v>516</v>
      </c>
      <c r="C242" s="7" t="s">
        <v>482</v>
      </c>
      <c r="D242" s="7" t="s">
        <v>6</v>
      </c>
      <c r="E242" s="8">
        <v>468.49</v>
      </c>
      <c r="F242" s="9">
        <v>10</v>
      </c>
      <c r="G242" s="6" t="s">
        <v>562</v>
      </c>
    </row>
    <row r="243" spans="1:7" x14ac:dyDescent="0.2">
      <c r="A243" s="6" t="s">
        <v>563</v>
      </c>
      <c r="B243" s="7" t="s">
        <v>500</v>
      </c>
      <c r="C243" s="7" t="s">
        <v>25</v>
      </c>
      <c r="D243" s="7" t="s">
        <v>6</v>
      </c>
      <c r="E243" s="8">
        <v>22.99</v>
      </c>
      <c r="F243" s="9">
        <v>57</v>
      </c>
      <c r="G243" s="6" t="s">
        <v>564</v>
      </c>
    </row>
    <row r="244" spans="1:7" x14ac:dyDescent="0.2">
      <c r="A244" s="6" t="s">
        <v>565</v>
      </c>
      <c r="B244" s="7" t="s">
        <v>530</v>
      </c>
      <c r="C244" s="7" t="s">
        <v>25</v>
      </c>
      <c r="D244" s="7" t="s">
        <v>9</v>
      </c>
      <c r="E244" s="8">
        <v>13.82</v>
      </c>
      <c r="F244" s="9">
        <v>93</v>
      </c>
      <c r="G244" s="6" t="s">
        <v>343</v>
      </c>
    </row>
    <row r="245" spans="1:7" x14ac:dyDescent="0.2">
      <c r="A245" s="6" t="s">
        <v>155</v>
      </c>
      <c r="B245" s="7" t="s">
        <v>503</v>
      </c>
      <c r="C245" s="7" t="s">
        <v>488</v>
      </c>
      <c r="D245" s="7" t="s">
        <v>19</v>
      </c>
      <c r="E245" s="8">
        <v>9.73</v>
      </c>
      <c r="F245" s="9">
        <v>199</v>
      </c>
      <c r="G245" s="6" t="s">
        <v>156</v>
      </c>
    </row>
    <row r="246" spans="1:7" x14ac:dyDescent="0.2">
      <c r="A246" s="6" t="s">
        <v>170</v>
      </c>
      <c r="B246" s="7" t="s">
        <v>497</v>
      </c>
      <c r="C246" s="7" t="s">
        <v>488</v>
      </c>
      <c r="D246" s="7" t="s">
        <v>12</v>
      </c>
      <c r="E246" s="8">
        <v>20.75</v>
      </c>
      <c r="F246" s="9">
        <v>117</v>
      </c>
      <c r="G246" s="6" t="s">
        <v>171</v>
      </c>
    </row>
    <row r="247" spans="1:7" x14ac:dyDescent="0.2">
      <c r="A247" s="6" t="s">
        <v>46</v>
      </c>
      <c r="B247" s="7" t="s">
        <v>513</v>
      </c>
      <c r="C247" s="7" t="s">
        <v>25</v>
      </c>
      <c r="D247" s="7" t="s">
        <v>6</v>
      </c>
      <c r="E247" s="8">
        <v>18.73</v>
      </c>
      <c r="F247" s="9">
        <v>81</v>
      </c>
      <c r="G247" s="6" t="s">
        <v>47</v>
      </c>
    </row>
    <row r="248" spans="1:7" x14ac:dyDescent="0.2">
      <c r="A248" s="6" t="s">
        <v>46</v>
      </c>
      <c r="B248" s="7" t="s">
        <v>498</v>
      </c>
      <c r="C248" s="7" t="s">
        <v>491</v>
      </c>
      <c r="D248" s="7" t="s">
        <v>19</v>
      </c>
      <c r="E248" s="8">
        <v>118.06</v>
      </c>
      <c r="F248" s="9">
        <v>14</v>
      </c>
      <c r="G248" s="6" t="s">
        <v>220</v>
      </c>
    </row>
    <row r="249" spans="1:7" x14ac:dyDescent="0.2">
      <c r="A249" s="6" t="s">
        <v>46</v>
      </c>
      <c r="B249" s="7" t="s">
        <v>508</v>
      </c>
      <c r="C249" s="7" t="s">
        <v>25</v>
      </c>
      <c r="D249" s="7" t="s">
        <v>12</v>
      </c>
      <c r="E249" s="8">
        <v>13.28</v>
      </c>
      <c r="F249" s="9">
        <v>101</v>
      </c>
      <c r="G249" s="6" t="s">
        <v>313</v>
      </c>
    </row>
    <row r="250" spans="1:7" x14ac:dyDescent="0.2">
      <c r="A250" s="6" t="s">
        <v>46</v>
      </c>
      <c r="B250" s="7" t="s">
        <v>499</v>
      </c>
      <c r="C250" s="7" t="s">
        <v>488</v>
      </c>
      <c r="D250" s="7" t="s">
        <v>19</v>
      </c>
      <c r="E250" s="8">
        <v>1060.28</v>
      </c>
      <c r="F250" s="9">
        <v>50</v>
      </c>
      <c r="G250" s="6" t="s">
        <v>351</v>
      </c>
    </row>
    <row r="251" spans="1:7" x14ac:dyDescent="0.2">
      <c r="A251" s="6" t="s">
        <v>29</v>
      </c>
      <c r="B251" s="7" t="s">
        <v>508</v>
      </c>
      <c r="C251" s="7" t="s">
        <v>25</v>
      </c>
      <c r="D251" s="7" t="s">
        <v>15</v>
      </c>
      <c r="E251" s="8">
        <v>18.5</v>
      </c>
      <c r="F251" s="9">
        <v>45</v>
      </c>
      <c r="G251" s="6" t="s">
        <v>30</v>
      </c>
    </row>
    <row r="252" spans="1:7" x14ac:dyDescent="0.2">
      <c r="A252" s="6" t="s">
        <v>78</v>
      </c>
      <c r="B252" s="7" t="s">
        <v>505</v>
      </c>
      <c r="C252" s="7" t="s">
        <v>491</v>
      </c>
      <c r="D252" s="7" t="s">
        <v>9</v>
      </c>
      <c r="E252" s="8">
        <v>829.39</v>
      </c>
      <c r="F252" s="9">
        <v>1</v>
      </c>
      <c r="G252" s="6" t="s">
        <v>79</v>
      </c>
    </row>
    <row r="253" spans="1:7" x14ac:dyDescent="0.2">
      <c r="A253" s="6" t="s">
        <v>74</v>
      </c>
      <c r="B253" s="7" t="s">
        <v>492</v>
      </c>
      <c r="C253" s="7" t="s">
        <v>25</v>
      </c>
      <c r="D253" s="7" t="s">
        <v>9</v>
      </c>
      <c r="E253" s="8">
        <v>53.61</v>
      </c>
      <c r="F253" s="9">
        <v>23</v>
      </c>
      <c r="G253" s="6" t="s">
        <v>75</v>
      </c>
    </row>
    <row r="254" spans="1:7" x14ac:dyDescent="0.2">
      <c r="A254" s="6" t="s">
        <v>74</v>
      </c>
      <c r="B254" s="7" t="s">
        <v>508</v>
      </c>
      <c r="C254" s="7" t="s">
        <v>25</v>
      </c>
      <c r="D254" s="7" t="s">
        <v>15</v>
      </c>
      <c r="E254" s="8">
        <v>13.19</v>
      </c>
      <c r="F254" s="9">
        <v>97</v>
      </c>
      <c r="G254" s="6" t="s">
        <v>183</v>
      </c>
    </row>
    <row r="255" spans="1:7" x14ac:dyDescent="0.2">
      <c r="A255" s="6" t="s">
        <v>223</v>
      </c>
      <c r="B255" s="7" t="s">
        <v>498</v>
      </c>
      <c r="C255" s="7" t="s">
        <v>491</v>
      </c>
      <c r="D255" s="7" t="s">
        <v>9</v>
      </c>
      <c r="E255" s="8">
        <v>123.02</v>
      </c>
      <c r="F255" s="9">
        <v>10</v>
      </c>
      <c r="G255" s="6" t="s">
        <v>224</v>
      </c>
    </row>
    <row r="256" spans="1:7" x14ac:dyDescent="0.2">
      <c r="A256" s="6" t="s">
        <v>223</v>
      </c>
      <c r="B256" s="7" t="s">
        <v>528</v>
      </c>
      <c r="C256" s="7" t="s">
        <v>488</v>
      </c>
      <c r="D256" s="7" t="s">
        <v>19</v>
      </c>
      <c r="E256" s="8">
        <v>861.71</v>
      </c>
      <c r="F256" s="9">
        <v>14</v>
      </c>
      <c r="G256" s="6" t="s">
        <v>360</v>
      </c>
    </row>
    <row r="257" spans="1:7" x14ac:dyDescent="0.2">
      <c r="A257" s="6" t="s">
        <v>434</v>
      </c>
      <c r="B257" s="7" t="s">
        <v>490</v>
      </c>
      <c r="C257" s="7" t="s">
        <v>491</v>
      </c>
      <c r="D257" s="7" t="s">
        <v>15</v>
      </c>
      <c r="E257" s="8">
        <v>95.8</v>
      </c>
      <c r="F257" s="9">
        <v>10</v>
      </c>
      <c r="G257" s="6" t="s">
        <v>435</v>
      </c>
    </row>
    <row r="258" spans="1:7" x14ac:dyDescent="0.2">
      <c r="A258" s="6" t="s">
        <v>59</v>
      </c>
      <c r="B258" s="7" t="s">
        <v>515</v>
      </c>
      <c r="C258" s="7" t="s">
        <v>482</v>
      </c>
      <c r="D258" s="7" t="s">
        <v>12</v>
      </c>
      <c r="E258" s="8">
        <v>43.26</v>
      </c>
      <c r="F258" s="9">
        <v>33</v>
      </c>
      <c r="G258" s="6" t="s">
        <v>60</v>
      </c>
    </row>
    <row r="259" spans="1:7" x14ac:dyDescent="0.2">
      <c r="A259" s="6" t="s">
        <v>59</v>
      </c>
      <c r="B259" s="7" t="s">
        <v>487</v>
      </c>
      <c r="C259" s="7" t="s">
        <v>488</v>
      </c>
      <c r="D259" s="7" t="s">
        <v>6</v>
      </c>
      <c r="E259" s="8">
        <v>312.25</v>
      </c>
      <c r="F259" s="9">
        <v>5</v>
      </c>
      <c r="G259" s="6" t="s">
        <v>144</v>
      </c>
    </row>
    <row r="260" spans="1:7" x14ac:dyDescent="0.2">
      <c r="A260" s="6" t="s">
        <v>31</v>
      </c>
      <c r="B260" s="7" t="s">
        <v>484</v>
      </c>
      <c r="C260" s="7" t="s">
        <v>25</v>
      </c>
      <c r="D260" s="7" t="s">
        <v>19</v>
      </c>
      <c r="E260" s="8">
        <v>35.99</v>
      </c>
      <c r="F260" s="9">
        <v>30</v>
      </c>
      <c r="G260" s="6" t="s">
        <v>32</v>
      </c>
    </row>
    <row r="261" spans="1:7" x14ac:dyDescent="0.2">
      <c r="A261" s="6" t="s">
        <v>82</v>
      </c>
      <c r="B261" s="7" t="s">
        <v>484</v>
      </c>
      <c r="C261" s="7" t="s">
        <v>25</v>
      </c>
      <c r="D261" s="7" t="s">
        <v>9</v>
      </c>
      <c r="E261" s="8">
        <v>36.61</v>
      </c>
      <c r="F261" s="9">
        <v>27</v>
      </c>
      <c r="G261" s="6" t="s">
        <v>83</v>
      </c>
    </row>
    <row r="262" spans="1:7" x14ac:dyDescent="0.2">
      <c r="A262" s="6" t="s">
        <v>364</v>
      </c>
      <c r="B262" s="7" t="s">
        <v>509</v>
      </c>
      <c r="C262" s="7" t="s">
        <v>491</v>
      </c>
      <c r="D262" s="7" t="s">
        <v>12</v>
      </c>
      <c r="E262" s="8">
        <v>495.25</v>
      </c>
      <c r="F262" s="9">
        <v>10</v>
      </c>
      <c r="G262" s="6" t="s">
        <v>365</v>
      </c>
    </row>
    <row r="263" spans="1:7" x14ac:dyDescent="0.2">
      <c r="A263" s="6" t="s">
        <v>140</v>
      </c>
      <c r="B263" s="7" t="s">
        <v>530</v>
      </c>
      <c r="C263" s="7" t="s">
        <v>25</v>
      </c>
      <c r="D263" s="7" t="s">
        <v>9</v>
      </c>
      <c r="E263" s="8">
        <v>14.63</v>
      </c>
      <c r="F263" s="9">
        <v>91</v>
      </c>
      <c r="G263" s="6" t="s">
        <v>141</v>
      </c>
    </row>
    <row r="264" spans="1:7" x14ac:dyDescent="0.2">
      <c r="A264" s="6" t="s">
        <v>566</v>
      </c>
      <c r="B264" s="7" t="s">
        <v>481</v>
      </c>
      <c r="C264" s="7" t="s">
        <v>482</v>
      </c>
      <c r="D264" s="7" t="s">
        <v>15</v>
      </c>
      <c r="E264" s="8">
        <v>90.16</v>
      </c>
      <c r="F264" s="9">
        <v>25</v>
      </c>
      <c r="G264" s="6" t="s">
        <v>368</v>
      </c>
    </row>
    <row r="265" spans="1:7" x14ac:dyDescent="0.2">
      <c r="A265" s="6" t="s">
        <v>71</v>
      </c>
      <c r="B265" s="7" t="s">
        <v>527</v>
      </c>
      <c r="C265" s="7" t="s">
        <v>482</v>
      </c>
      <c r="D265" s="7" t="s">
        <v>12</v>
      </c>
      <c r="E265" s="8">
        <v>199.05</v>
      </c>
      <c r="F265" s="9">
        <v>12</v>
      </c>
      <c r="G265" s="6" t="s">
        <v>72</v>
      </c>
    </row>
    <row r="266" spans="1:7" x14ac:dyDescent="0.2">
      <c r="A266" s="6" t="s">
        <v>174</v>
      </c>
      <c r="B266" s="10" t="s">
        <v>498</v>
      </c>
      <c r="C266" s="7" t="s">
        <v>491</v>
      </c>
      <c r="D266" s="7" t="s">
        <v>19</v>
      </c>
      <c r="E266" s="8">
        <v>120.4</v>
      </c>
      <c r="F266" s="9">
        <v>16</v>
      </c>
      <c r="G266" s="6" t="s">
        <v>175</v>
      </c>
    </row>
    <row r="267" spans="1:7" x14ac:dyDescent="0.2">
      <c r="A267" s="6" t="s">
        <v>252</v>
      </c>
      <c r="B267" s="7" t="s">
        <v>508</v>
      </c>
      <c r="C267" s="7" t="s">
        <v>25</v>
      </c>
      <c r="D267" s="7" t="s">
        <v>6</v>
      </c>
      <c r="E267" s="8">
        <v>13.08</v>
      </c>
      <c r="F267" s="9">
        <v>103</v>
      </c>
      <c r="G267" s="6" t="s">
        <v>253</v>
      </c>
    </row>
    <row r="268" spans="1:7" x14ac:dyDescent="0.2">
      <c r="A268" s="6" t="s">
        <v>300</v>
      </c>
      <c r="B268" s="7" t="s">
        <v>507</v>
      </c>
      <c r="C268" s="7" t="s">
        <v>25</v>
      </c>
      <c r="D268" s="7" t="s">
        <v>19</v>
      </c>
      <c r="E268" s="8">
        <v>24.93</v>
      </c>
      <c r="F268" s="9">
        <v>48</v>
      </c>
      <c r="G268" s="6" t="s">
        <v>301</v>
      </c>
    </row>
    <row r="269" spans="1:7" x14ac:dyDescent="0.2">
      <c r="A269" s="6" t="s">
        <v>318</v>
      </c>
      <c r="B269" s="7" t="s">
        <v>499</v>
      </c>
      <c r="C269" s="7" t="s">
        <v>488</v>
      </c>
      <c r="D269" s="7" t="s">
        <v>15</v>
      </c>
      <c r="E269" s="8">
        <v>1120.5999999999999</v>
      </c>
      <c r="F269" s="9">
        <v>4</v>
      </c>
      <c r="G269" s="6" t="s">
        <v>319</v>
      </c>
    </row>
    <row r="270" spans="1:7" x14ac:dyDescent="0.2">
      <c r="A270" s="6" t="s">
        <v>122</v>
      </c>
      <c r="B270" s="7" t="s">
        <v>542</v>
      </c>
      <c r="C270" s="7" t="s">
        <v>482</v>
      </c>
      <c r="D270" s="7" t="s">
        <v>6</v>
      </c>
      <c r="E270" s="8">
        <v>115.26</v>
      </c>
      <c r="F270" s="9">
        <v>8</v>
      </c>
      <c r="G270" s="6" t="s">
        <v>123</v>
      </c>
    </row>
    <row r="271" spans="1:7" x14ac:dyDescent="0.2">
      <c r="A271" s="6" t="s">
        <v>408</v>
      </c>
      <c r="B271" s="7" t="s">
        <v>499</v>
      </c>
      <c r="C271" s="7" t="s">
        <v>488</v>
      </c>
      <c r="D271" s="7" t="s">
        <v>6</v>
      </c>
      <c r="E271" s="8">
        <v>1085.6199999999999</v>
      </c>
      <c r="F271" s="9">
        <v>7</v>
      </c>
      <c r="G271" s="6" t="s">
        <v>409</v>
      </c>
    </row>
    <row r="272" spans="1:7" x14ac:dyDescent="0.2">
      <c r="A272" s="6" t="s">
        <v>408</v>
      </c>
      <c r="B272" s="7" t="s">
        <v>499</v>
      </c>
      <c r="C272" s="7" t="s">
        <v>488</v>
      </c>
      <c r="D272" s="7" t="s">
        <v>19</v>
      </c>
      <c r="E272" s="8">
        <v>1085.6199999999999</v>
      </c>
      <c r="F272" s="9">
        <v>7</v>
      </c>
      <c r="G272" s="6" t="s">
        <v>410</v>
      </c>
    </row>
    <row r="273" spans="1:7" x14ac:dyDescent="0.2">
      <c r="A273" s="6" t="s">
        <v>408</v>
      </c>
      <c r="B273" s="7" t="s">
        <v>525</v>
      </c>
      <c r="C273" s="7" t="s">
        <v>25</v>
      </c>
      <c r="D273" s="7" t="s">
        <v>9</v>
      </c>
      <c r="E273" s="8">
        <v>41.3</v>
      </c>
      <c r="F273" s="9">
        <v>48</v>
      </c>
      <c r="G273" s="6" t="s">
        <v>39</v>
      </c>
    </row>
    <row r="274" spans="1:7" x14ac:dyDescent="0.2">
      <c r="A274" s="6" t="s">
        <v>567</v>
      </c>
      <c r="B274" s="7" t="s">
        <v>499</v>
      </c>
      <c r="C274" s="7" t="s">
        <v>488</v>
      </c>
      <c r="D274" s="7" t="s">
        <v>6</v>
      </c>
      <c r="E274" s="8">
        <v>1150.94</v>
      </c>
      <c r="F274" s="9">
        <v>10</v>
      </c>
      <c r="G274" s="6" t="s">
        <v>440</v>
      </c>
    </row>
    <row r="275" spans="1:7" x14ac:dyDescent="0.2">
      <c r="A275" s="6" t="s">
        <v>362</v>
      </c>
      <c r="B275" s="7" t="s">
        <v>506</v>
      </c>
      <c r="C275" s="7" t="s">
        <v>491</v>
      </c>
      <c r="D275" s="7" t="s">
        <v>12</v>
      </c>
      <c r="E275" s="8">
        <v>1340.88</v>
      </c>
      <c r="F275" s="9">
        <v>6</v>
      </c>
      <c r="G275" s="6" t="s">
        <v>363</v>
      </c>
    </row>
    <row r="276" spans="1:7" x14ac:dyDescent="0.2">
      <c r="A276" s="6" t="s">
        <v>362</v>
      </c>
      <c r="B276" s="7" t="s">
        <v>492</v>
      </c>
      <c r="C276" s="7" t="s">
        <v>25</v>
      </c>
      <c r="D276" s="7" t="s">
        <v>9</v>
      </c>
      <c r="E276" s="8">
        <v>53.03</v>
      </c>
      <c r="F276" s="9">
        <v>21</v>
      </c>
      <c r="G276" s="6" t="s">
        <v>235</v>
      </c>
    </row>
    <row r="277" spans="1:7" x14ac:dyDescent="0.2">
      <c r="A277" s="6" t="s">
        <v>362</v>
      </c>
      <c r="B277" s="7" t="s">
        <v>511</v>
      </c>
      <c r="C277" s="7" t="s">
        <v>482</v>
      </c>
      <c r="D277" s="7" t="s">
        <v>12</v>
      </c>
      <c r="E277" s="8">
        <v>82.05</v>
      </c>
      <c r="F277" s="9">
        <v>44</v>
      </c>
      <c r="G277" s="6" t="s">
        <v>240</v>
      </c>
    </row>
    <row r="278" spans="1:7" x14ac:dyDescent="0.2">
      <c r="A278" s="6" t="s">
        <v>568</v>
      </c>
      <c r="B278" s="7" t="s">
        <v>518</v>
      </c>
      <c r="C278" s="7" t="s">
        <v>482</v>
      </c>
      <c r="D278" s="7" t="s">
        <v>15</v>
      </c>
      <c r="E278" s="8">
        <v>1220.3599999999999</v>
      </c>
      <c r="F278" s="9">
        <v>5</v>
      </c>
      <c r="G278" s="6" t="s">
        <v>137</v>
      </c>
    </row>
    <row r="279" spans="1:7" x14ac:dyDescent="0.2">
      <c r="A279" s="6" t="s">
        <v>63</v>
      </c>
      <c r="B279" s="7" t="s">
        <v>505</v>
      </c>
      <c r="C279" s="7" t="s">
        <v>491</v>
      </c>
      <c r="D279" s="7" t="s">
        <v>12</v>
      </c>
      <c r="E279" s="8">
        <v>834.48</v>
      </c>
      <c r="F279" s="9">
        <v>2</v>
      </c>
      <c r="G279" s="6" t="s">
        <v>64</v>
      </c>
    </row>
    <row r="280" spans="1:7" x14ac:dyDescent="0.2">
      <c r="A280" s="6" t="s">
        <v>89</v>
      </c>
      <c r="B280" s="7" t="s">
        <v>528</v>
      </c>
      <c r="C280" s="7" t="s">
        <v>488</v>
      </c>
      <c r="D280" s="7" t="s">
        <v>19</v>
      </c>
      <c r="E280" s="8">
        <v>896.37</v>
      </c>
      <c r="F280" s="9">
        <v>7</v>
      </c>
      <c r="G280" s="6" t="s">
        <v>90</v>
      </c>
    </row>
    <row r="281" spans="1:7" x14ac:dyDescent="0.2">
      <c r="A281" s="6" t="s">
        <v>89</v>
      </c>
      <c r="B281" s="7" t="s">
        <v>505</v>
      </c>
      <c r="C281" s="7" t="s">
        <v>491</v>
      </c>
      <c r="D281" s="7" t="s">
        <v>6</v>
      </c>
      <c r="E281" s="8">
        <v>865</v>
      </c>
      <c r="F281" s="9">
        <v>7</v>
      </c>
      <c r="G281" s="6" t="s">
        <v>380</v>
      </c>
    </row>
    <row r="282" spans="1:7" x14ac:dyDescent="0.2">
      <c r="A282" s="6" t="s">
        <v>89</v>
      </c>
      <c r="B282" s="7" t="s">
        <v>509</v>
      </c>
      <c r="C282" s="7" t="s">
        <v>491</v>
      </c>
      <c r="D282" s="7" t="s">
        <v>19</v>
      </c>
      <c r="E282" s="8">
        <v>490.24</v>
      </c>
      <c r="F282" s="9">
        <v>13</v>
      </c>
      <c r="G282" s="6" t="s">
        <v>323</v>
      </c>
    </row>
    <row r="283" spans="1:7" x14ac:dyDescent="0.2">
      <c r="A283" s="6" t="s">
        <v>54</v>
      </c>
      <c r="B283" s="7" t="s">
        <v>511</v>
      </c>
      <c r="C283" s="7" t="s">
        <v>482</v>
      </c>
      <c r="D283" s="7" t="s">
        <v>19</v>
      </c>
      <c r="E283" s="8">
        <v>82.92</v>
      </c>
      <c r="F283" s="9">
        <v>22</v>
      </c>
      <c r="G283" s="6" t="s">
        <v>55</v>
      </c>
    </row>
    <row r="284" spans="1:7" x14ac:dyDescent="0.2">
      <c r="A284" s="6" t="s">
        <v>50</v>
      </c>
      <c r="B284" s="7" t="s">
        <v>525</v>
      </c>
      <c r="C284" s="7" t="s">
        <v>25</v>
      </c>
      <c r="D284" s="7" t="s">
        <v>9</v>
      </c>
      <c r="E284" s="8">
        <v>38.53</v>
      </c>
      <c r="F284" s="9">
        <v>46</v>
      </c>
      <c r="G284" s="6" t="s">
        <v>51</v>
      </c>
    </row>
    <row r="285" spans="1:7" x14ac:dyDescent="0.2">
      <c r="A285" s="6" t="s">
        <v>569</v>
      </c>
      <c r="B285" s="7" t="s">
        <v>508</v>
      </c>
      <c r="C285" s="7" t="s">
        <v>25</v>
      </c>
      <c r="D285" s="7" t="s">
        <v>9</v>
      </c>
      <c r="E285" s="8">
        <v>12.68</v>
      </c>
      <c r="F285" s="9">
        <v>105</v>
      </c>
      <c r="G285" s="6" t="s">
        <v>236</v>
      </c>
    </row>
    <row r="286" spans="1:7" x14ac:dyDescent="0.2">
      <c r="A286" s="6" t="s">
        <v>570</v>
      </c>
      <c r="B286" s="7" t="s">
        <v>509</v>
      </c>
      <c r="C286" s="7" t="s">
        <v>491</v>
      </c>
      <c r="D286" s="7" t="s">
        <v>12</v>
      </c>
      <c r="E286" s="8">
        <v>521.27</v>
      </c>
      <c r="F286" s="9">
        <v>20</v>
      </c>
      <c r="G286" s="6" t="s">
        <v>320</v>
      </c>
    </row>
    <row r="287" spans="1:7" x14ac:dyDescent="0.2">
      <c r="A287" s="6" t="s">
        <v>147</v>
      </c>
      <c r="B287" s="7" t="s">
        <v>511</v>
      </c>
      <c r="C287" s="7" t="s">
        <v>482</v>
      </c>
      <c r="D287" s="7" t="s">
        <v>19</v>
      </c>
      <c r="E287" s="8">
        <v>89.43</v>
      </c>
      <c r="F287" s="9">
        <v>45</v>
      </c>
      <c r="G287" s="6" t="s">
        <v>148</v>
      </c>
    </row>
    <row r="288" spans="1:7" x14ac:dyDescent="0.2">
      <c r="A288" s="6" t="s">
        <v>147</v>
      </c>
      <c r="B288" s="7" t="s">
        <v>509</v>
      </c>
      <c r="C288" s="7" t="s">
        <v>491</v>
      </c>
      <c r="D288" s="7" t="s">
        <v>12</v>
      </c>
      <c r="E288" s="8">
        <v>505.95</v>
      </c>
      <c r="F288" s="9">
        <v>23</v>
      </c>
      <c r="G288" s="6" t="s">
        <v>124</v>
      </c>
    </row>
    <row r="289" spans="1:7" x14ac:dyDescent="0.2">
      <c r="A289" s="6" t="s">
        <v>571</v>
      </c>
      <c r="B289" s="7" t="s">
        <v>528</v>
      </c>
      <c r="C289" s="7" t="s">
        <v>488</v>
      </c>
      <c r="D289" s="7" t="s">
        <v>12</v>
      </c>
      <c r="E289" s="8">
        <v>913.94</v>
      </c>
      <c r="F289" s="9">
        <v>12</v>
      </c>
      <c r="G289" s="6" t="s">
        <v>400</v>
      </c>
    </row>
    <row r="290" spans="1:7" x14ac:dyDescent="0.2">
      <c r="A290" s="6" t="s">
        <v>572</v>
      </c>
      <c r="B290" s="7" t="s">
        <v>513</v>
      </c>
      <c r="C290" s="7" t="s">
        <v>25</v>
      </c>
      <c r="D290" s="7" t="s">
        <v>6</v>
      </c>
      <c r="E290" s="8">
        <v>19.84</v>
      </c>
      <c r="F290" s="9">
        <v>81</v>
      </c>
      <c r="G290" s="6" t="s">
        <v>348</v>
      </c>
    </row>
    <row r="291" spans="1:7" x14ac:dyDescent="0.2">
      <c r="A291" s="6" t="s">
        <v>572</v>
      </c>
      <c r="B291" s="7" t="s">
        <v>542</v>
      </c>
      <c r="C291" s="7" t="s">
        <v>482</v>
      </c>
      <c r="D291" s="7" t="s">
        <v>6</v>
      </c>
      <c r="E291" s="8">
        <v>114.25</v>
      </c>
      <c r="F291" s="9">
        <v>26</v>
      </c>
      <c r="G291" s="6" t="s">
        <v>370</v>
      </c>
    </row>
    <row r="292" spans="1:7" x14ac:dyDescent="0.2">
      <c r="A292" s="6" t="s">
        <v>572</v>
      </c>
      <c r="B292" s="7" t="s">
        <v>509</v>
      </c>
      <c r="C292" s="7" t="s">
        <v>491</v>
      </c>
      <c r="D292" s="7" t="s">
        <v>6</v>
      </c>
      <c r="E292" s="8">
        <v>485.55</v>
      </c>
      <c r="F292" s="9">
        <v>12</v>
      </c>
      <c r="G292" s="6" t="s">
        <v>45</v>
      </c>
    </row>
    <row r="293" spans="1:7" x14ac:dyDescent="0.2">
      <c r="A293" s="6" t="s">
        <v>178</v>
      </c>
      <c r="B293" s="7" t="s">
        <v>520</v>
      </c>
      <c r="C293" s="7" t="s">
        <v>488</v>
      </c>
      <c r="D293" s="7" t="s">
        <v>12</v>
      </c>
      <c r="E293" s="8">
        <v>558</v>
      </c>
      <c r="F293" s="9">
        <v>20</v>
      </c>
      <c r="G293" s="6" t="s">
        <v>179</v>
      </c>
    </row>
    <row r="294" spans="1:7" x14ac:dyDescent="0.2">
      <c r="A294" s="6" t="s">
        <v>178</v>
      </c>
      <c r="B294" s="7" t="s">
        <v>487</v>
      </c>
      <c r="C294" s="7" t="s">
        <v>488</v>
      </c>
      <c r="D294" s="7" t="s">
        <v>6</v>
      </c>
      <c r="E294" s="8">
        <v>308.86</v>
      </c>
      <c r="F294" s="9">
        <v>28</v>
      </c>
      <c r="G294" s="6" t="s">
        <v>259</v>
      </c>
    </row>
    <row r="295" spans="1:7" x14ac:dyDescent="0.2">
      <c r="A295" s="6" t="s">
        <v>178</v>
      </c>
      <c r="B295" s="7" t="s">
        <v>507</v>
      </c>
      <c r="C295" s="7" t="s">
        <v>25</v>
      </c>
      <c r="D295" s="7" t="s">
        <v>12</v>
      </c>
      <c r="E295" s="8">
        <v>24.97</v>
      </c>
      <c r="F295" s="9">
        <v>55</v>
      </c>
      <c r="G295" s="6" t="s">
        <v>403</v>
      </c>
    </row>
    <row r="296" spans="1:7" x14ac:dyDescent="0.2">
      <c r="A296" s="6" t="s">
        <v>213</v>
      </c>
      <c r="B296" s="10" t="s">
        <v>498</v>
      </c>
      <c r="C296" s="7" t="s">
        <v>491</v>
      </c>
      <c r="D296" s="7" t="s">
        <v>9</v>
      </c>
      <c r="E296" s="8">
        <v>119.76</v>
      </c>
      <c r="F296" s="9">
        <v>10</v>
      </c>
      <c r="G296" s="6" t="s">
        <v>214</v>
      </c>
    </row>
    <row r="297" spans="1:7" x14ac:dyDescent="0.2">
      <c r="A297" s="6" t="s">
        <v>153</v>
      </c>
      <c r="B297" s="7" t="s">
        <v>518</v>
      </c>
      <c r="C297" s="7" t="s">
        <v>482</v>
      </c>
      <c r="D297" s="7" t="s">
        <v>15</v>
      </c>
      <c r="E297" s="8">
        <v>1178.3800000000001</v>
      </c>
      <c r="F297" s="9">
        <v>7</v>
      </c>
      <c r="G297" s="6" t="s">
        <v>328</v>
      </c>
    </row>
    <row r="298" spans="1:7" x14ac:dyDescent="0.2">
      <c r="A298" s="6" t="s">
        <v>153</v>
      </c>
      <c r="B298" s="7" t="s">
        <v>525</v>
      </c>
      <c r="C298" s="7" t="s">
        <v>25</v>
      </c>
      <c r="D298" s="7" t="s">
        <v>19</v>
      </c>
      <c r="E298" s="8">
        <v>40.57</v>
      </c>
      <c r="F298" s="9">
        <v>45</v>
      </c>
      <c r="G298" s="6" t="s">
        <v>154</v>
      </c>
    </row>
    <row r="299" spans="1:7" x14ac:dyDescent="0.2">
      <c r="A299" s="6" t="s">
        <v>153</v>
      </c>
      <c r="B299" s="7" t="s">
        <v>509</v>
      </c>
      <c r="C299" s="7" t="s">
        <v>491</v>
      </c>
      <c r="D299" s="7" t="s">
        <v>15</v>
      </c>
      <c r="E299" s="8">
        <v>477.94</v>
      </c>
      <c r="F299" s="9">
        <v>14</v>
      </c>
      <c r="G299" s="6" t="s">
        <v>98</v>
      </c>
    </row>
    <row r="300" spans="1:7" x14ac:dyDescent="0.2">
      <c r="A300" s="6" t="s">
        <v>290</v>
      </c>
      <c r="B300" s="7" t="s">
        <v>528</v>
      </c>
      <c r="C300" s="7" t="s">
        <v>488</v>
      </c>
      <c r="D300" s="7" t="s">
        <v>15</v>
      </c>
      <c r="E300" s="8">
        <v>912.13</v>
      </c>
      <c r="F300" s="9">
        <v>9</v>
      </c>
      <c r="G300" s="6" t="s">
        <v>291</v>
      </c>
    </row>
    <row r="301" spans="1:7" x14ac:dyDescent="0.2">
      <c r="A301" s="6" t="s">
        <v>290</v>
      </c>
      <c r="B301" s="7" t="s">
        <v>500</v>
      </c>
      <c r="C301" s="7" t="s">
        <v>25</v>
      </c>
      <c r="D301" s="7" t="s">
        <v>15</v>
      </c>
      <c r="E301" s="8">
        <v>23.33</v>
      </c>
      <c r="F301" s="9">
        <v>10</v>
      </c>
      <c r="G301" s="6" t="s">
        <v>573</v>
      </c>
    </row>
    <row r="302" spans="1:7" x14ac:dyDescent="0.2">
      <c r="A302" s="6" t="s">
        <v>65</v>
      </c>
      <c r="B302" s="7" t="s">
        <v>493</v>
      </c>
      <c r="C302" s="7" t="s">
        <v>482</v>
      </c>
      <c r="D302" s="7" t="s">
        <v>9</v>
      </c>
      <c r="E302" s="8">
        <v>907.36</v>
      </c>
      <c r="F302" s="9">
        <v>15</v>
      </c>
      <c r="G302" s="6" t="s">
        <v>198</v>
      </c>
    </row>
    <row r="303" spans="1:7" x14ac:dyDescent="0.2">
      <c r="A303" s="6" t="s">
        <v>65</v>
      </c>
      <c r="B303" s="7" t="s">
        <v>505</v>
      </c>
      <c r="C303" s="7" t="s">
        <v>491</v>
      </c>
      <c r="D303" s="7" t="s">
        <v>15</v>
      </c>
      <c r="E303" s="8">
        <v>872.69</v>
      </c>
      <c r="F303" s="9">
        <v>7</v>
      </c>
      <c r="G303" s="6" t="s">
        <v>66</v>
      </c>
    </row>
    <row r="304" spans="1:7" x14ac:dyDescent="0.2">
      <c r="A304" s="6" t="s">
        <v>574</v>
      </c>
      <c r="B304" s="7" t="s">
        <v>511</v>
      </c>
      <c r="C304" s="7" t="s">
        <v>482</v>
      </c>
      <c r="D304" s="7" t="s">
        <v>15</v>
      </c>
      <c r="E304" s="8">
        <v>90.03</v>
      </c>
      <c r="F304" s="9">
        <v>45</v>
      </c>
      <c r="G304" s="6" t="s">
        <v>373</v>
      </c>
    </row>
    <row r="305" spans="1:7" x14ac:dyDescent="0.2">
      <c r="A305" s="6" t="s">
        <v>206</v>
      </c>
      <c r="B305" s="7" t="s">
        <v>499</v>
      </c>
      <c r="C305" s="7" t="s">
        <v>488</v>
      </c>
      <c r="D305" s="7" t="s">
        <v>9</v>
      </c>
      <c r="E305" s="8">
        <v>1121.92</v>
      </c>
      <c r="F305" s="9">
        <v>12</v>
      </c>
      <c r="G305" s="6" t="s">
        <v>207</v>
      </c>
    </row>
  </sheetData>
  <autoFilter ref="A1:G30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U1397"/>
  <sheetViews>
    <sheetView tabSelected="1" workbookViewId="0">
      <selection activeCell="H8" sqref="H8"/>
    </sheetView>
  </sheetViews>
  <sheetFormatPr baseColWidth="10" defaultRowHeight="16" x14ac:dyDescent="0.2"/>
  <cols>
    <col min="1" max="1" width="10.83203125" style="59"/>
    <col min="2" max="2" width="17.33203125" style="51" customWidth="1"/>
    <col min="3" max="3" width="23" style="51" customWidth="1"/>
    <col min="4" max="4" width="25" style="51" customWidth="1"/>
    <col min="5" max="5" width="23.83203125" style="51" customWidth="1"/>
    <col min="6" max="99" width="10.83203125" style="59"/>
    <col min="100" max="16384" width="10.83203125" style="51"/>
  </cols>
  <sheetData>
    <row r="1" spans="2:5" s="59" customFormat="1" x14ac:dyDescent="0.2"/>
    <row r="2" spans="2:5" s="60" customFormat="1" x14ac:dyDescent="0.2">
      <c r="B2" s="60" t="s">
        <v>685</v>
      </c>
    </row>
    <row r="3" spans="2:5" s="59" customFormat="1" x14ac:dyDescent="0.2"/>
    <row r="4" spans="2:5" x14ac:dyDescent="0.2">
      <c r="B4" s="51" t="s">
        <v>650</v>
      </c>
      <c r="C4" s="51" t="s">
        <v>652</v>
      </c>
      <c r="D4" s="51" t="s">
        <v>654</v>
      </c>
      <c r="E4" s="51" t="s">
        <v>653</v>
      </c>
    </row>
    <row r="5" spans="2:5" ht="64" x14ac:dyDescent="0.2">
      <c r="B5" s="53" t="s">
        <v>655</v>
      </c>
      <c r="C5" s="52" t="s">
        <v>656</v>
      </c>
      <c r="D5" s="52" t="s">
        <v>657</v>
      </c>
      <c r="E5" s="51" t="s">
        <v>651</v>
      </c>
    </row>
    <row r="6" spans="2:5" ht="64" x14ac:dyDescent="0.2">
      <c r="B6" s="53" t="s">
        <v>658</v>
      </c>
      <c r="C6" s="54" t="s">
        <v>659</v>
      </c>
      <c r="D6" s="52" t="s">
        <v>660</v>
      </c>
      <c r="E6" s="52" t="s">
        <v>661</v>
      </c>
    </row>
    <row r="7" spans="2:5" ht="64" x14ac:dyDescent="0.2">
      <c r="B7" s="53" t="s">
        <v>662</v>
      </c>
      <c r="C7" s="51" t="s">
        <v>663</v>
      </c>
      <c r="D7" s="52" t="s">
        <v>664</v>
      </c>
      <c r="E7" s="52" t="s">
        <v>661</v>
      </c>
    </row>
    <row r="8" spans="2:5" ht="64" x14ac:dyDescent="0.2">
      <c r="B8" s="53" t="s">
        <v>665</v>
      </c>
      <c r="C8" s="51" t="s">
        <v>666</v>
      </c>
      <c r="D8" s="52" t="s">
        <v>667</v>
      </c>
      <c r="E8" s="51" t="s">
        <v>668</v>
      </c>
    </row>
    <row r="9" spans="2:5" s="59" customFormat="1" x14ac:dyDescent="0.2"/>
    <row r="10" spans="2:5" s="59" customFormat="1" x14ac:dyDescent="0.2"/>
    <row r="11" spans="2:5" s="60" customFormat="1" x14ac:dyDescent="0.2">
      <c r="B11" s="60" t="s">
        <v>669</v>
      </c>
    </row>
    <row r="12" spans="2:5" s="59" customFormat="1" x14ac:dyDescent="0.2"/>
    <row r="13" spans="2:5" x14ac:dyDescent="0.2">
      <c r="B13" s="55" t="s">
        <v>670</v>
      </c>
      <c r="C13" s="55" t="s">
        <v>671</v>
      </c>
      <c r="D13" s="55" t="s">
        <v>672</v>
      </c>
      <c r="E13" s="55" t="s">
        <v>456</v>
      </c>
    </row>
    <row r="14" spans="2:5" ht="48" x14ac:dyDescent="0.2">
      <c r="B14" s="56">
        <v>1</v>
      </c>
      <c r="C14" s="57" t="s">
        <v>673</v>
      </c>
      <c r="D14" s="58" t="s">
        <v>684</v>
      </c>
      <c r="E14" s="57" t="s">
        <v>674</v>
      </c>
    </row>
    <row r="15" spans="2:5" ht="64" x14ac:dyDescent="0.2">
      <c r="B15" s="56">
        <v>2</v>
      </c>
      <c r="C15" s="57" t="s">
        <v>675</v>
      </c>
      <c r="D15" s="58" t="s">
        <v>676</v>
      </c>
      <c r="E15" s="57" t="s">
        <v>677</v>
      </c>
    </row>
    <row r="16" spans="2:5" ht="48" x14ac:dyDescent="0.2">
      <c r="B16" s="56">
        <v>3</v>
      </c>
      <c r="C16" s="57" t="s">
        <v>678</v>
      </c>
      <c r="D16" s="58" t="s">
        <v>679</v>
      </c>
      <c r="E16" s="57" t="s">
        <v>680</v>
      </c>
    </row>
    <row r="17" spans="2:5" ht="48" x14ac:dyDescent="0.2">
      <c r="B17" s="56">
        <v>4</v>
      </c>
      <c r="C17" s="57" t="s">
        <v>681</v>
      </c>
      <c r="D17" s="58" t="s">
        <v>682</v>
      </c>
      <c r="E17" s="57" t="s">
        <v>683</v>
      </c>
    </row>
    <row r="18" spans="2:5" s="59" customFormat="1" x14ac:dyDescent="0.2"/>
    <row r="19" spans="2:5" s="59" customFormat="1" x14ac:dyDescent="0.2"/>
    <row r="20" spans="2:5" s="59" customFormat="1" x14ac:dyDescent="0.2"/>
    <row r="21" spans="2:5" s="59" customFormat="1" x14ac:dyDescent="0.2"/>
    <row r="22" spans="2:5" s="59" customFormat="1" x14ac:dyDescent="0.2"/>
    <row r="23" spans="2:5" s="59" customFormat="1" x14ac:dyDescent="0.2"/>
    <row r="24" spans="2:5" s="59" customFormat="1" x14ac:dyDescent="0.2"/>
    <row r="25" spans="2:5" s="59" customFormat="1" x14ac:dyDescent="0.2"/>
    <row r="26" spans="2:5" s="59" customFormat="1" x14ac:dyDescent="0.2"/>
    <row r="27" spans="2:5" s="59" customFormat="1" x14ac:dyDescent="0.2"/>
    <row r="28" spans="2:5" s="59" customFormat="1" x14ac:dyDescent="0.2"/>
    <row r="29" spans="2:5" s="59" customFormat="1" x14ac:dyDescent="0.2"/>
    <row r="30" spans="2:5" s="59" customFormat="1" x14ac:dyDescent="0.2"/>
    <row r="31" spans="2:5" s="59" customFormat="1" x14ac:dyDescent="0.2"/>
    <row r="32" spans="2:5" s="59" customFormat="1" x14ac:dyDescent="0.2"/>
    <row r="33" s="59" customFormat="1" x14ac:dyDescent="0.2"/>
    <row r="34" s="59" customFormat="1" x14ac:dyDescent="0.2"/>
    <row r="35" s="59" customFormat="1" x14ac:dyDescent="0.2"/>
    <row r="36" s="59" customFormat="1" x14ac:dyDescent="0.2"/>
    <row r="37" s="59" customFormat="1" x14ac:dyDescent="0.2"/>
    <row r="38" s="59" customFormat="1" x14ac:dyDescent="0.2"/>
    <row r="39" s="59" customFormat="1" x14ac:dyDescent="0.2"/>
    <row r="40" s="59" customFormat="1" x14ac:dyDescent="0.2"/>
    <row r="41" s="59" customFormat="1" x14ac:dyDescent="0.2"/>
    <row r="42" s="59" customFormat="1" x14ac:dyDescent="0.2"/>
    <row r="43" s="59" customFormat="1" x14ac:dyDescent="0.2"/>
    <row r="44" s="59" customFormat="1" x14ac:dyDescent="0.2"/>
    <row r="45" s="59" customFormat="1" x14ac:dyDescent="0.2"/>
    <row r="46" s="59" customFormat="1" x14ac:dyDescent="0.2"/>
    <row r="47" s="59" customFormat="1" x14ac:dyDescent="0.2"/>
    <row r="48" s="59" customFormat="1" x14ac:dyDescent="0.2"/>
    <row r="49" s="59" customFormat="1" x14ac:dyDescent="0.2"/>
    <row r="50" s="59" customFormat="1" x14ac:dyDescent="0.2"/>
    <row r="51" s="59" customFormat="1" x14ac:dyDescent="0.2"/>
    <row r="52" s="59" customFormat="1" x14ac:dyDescent="0.2"/>
    <row r="53" s="59" customFormat="1" x14ac:dyDescent="0.2"/>
    <row r="54" s="59" customFormat="1" x14ac:dyDescent="0.2"/>
    <row r="55" s="59" customFormat="1" x14ac:dyDescent="0.2"/>
    <row r="56" s="59" customFormat="1" x14ac:dyDescent="0.2"/>
    <row r="57" s="59" customFormat="1" x14ac:dyDescent="0.2"/>
    <row r="58" s="59" customFormat="1" x14ac:dyDescent="0.2"/>
    <row r="59" s="59" customFormat="1" x14ac:dyDescent="0.2"/>
    <row r="60" s="59" customFormat="1" x14ac:dyDescent="0.2"/>
    <row r="61" s="59" customFormat="1" x14ac:dyDescent="0.2"/>
    <row r="62" s="59" customFormat="1" x14ac:dyDescent="0.2"/>
    <row r="63" s="59" customFormat="1" x14ac:dyDescent="0.2"/>
    <row r="64" s="59" customFormat="1" x14ac:dyDescent="0.2"/>
    <row r="65" s="59" customFormat="1" x14ac:dyDescent="0.2"/>
    <row r="66" s="59" customFormat="1" x14ac:dyDescent="0.2"/>
    <row r="67" s="59" customFormat="1" x14ac:dyDescent="0.2"/>
    <row r="68" s="59" customFormat="1" x14ac:dyDescent="0.2"/>
    <row r="69" s="59" customFormat="1" x14ac:dyDescent="0.2"/>
    <row r="70" s="59" customFormat="1" x14ac:dyDescent="0.2"/>
    <row r="71" s="59" customFormat="1" x14ac:dyDescent="0.2"/>
    <row r="72" s="59" customFormat="1" x14ac:dyDescent="0.2"/>
    <row r="73" s="59" customFormat="1" x14ac:dyDescent="0.2"/>
    <row r="74" s="59" customFormat="1" x14ac:dyDescent="0.2"/>
    <row r="75" s="59" customFormat="1" x14ac:dyDescent="0.2"/>
    <row r="76" s="59" customFormat="1" x14ac:dyDescent="0.2"/>
    <row r="77" s="59" customFormat="1" x14ac:dyDescent="0.2"/>
    <row r="78" s="59" customFormat="1" x14ac:dyDescent="0.2"/>
    <row r="79" s="59" customFormat="1" x14ac:dyDescent="0.2"/>
    <row r="80" s="59" customFormat="1" x14ac:dyDescent="0.2"/>
    <row r="81" s="59" customFormat="1" x14ac:dyDescent="0.2"/>
    <row r="82" s="59" customFormat="1" x14ac:dyDescent="0.2"/>
    <row r="83" s="59" customFormat="1" x14ac:dyDescent="0.2"/>
    <row r="84" s="59" customFormat="1" x14ac:dyDescent="0.2"/>
    <row r="85" s="59" customFormat="1" x14ac:dyDescent="0.2"/>
    <row r="86" s="59" customFormat="1" x14ac:dyDescent="0.2"/>
    <row r="87" s="59" customFormat="1" x14ac:dyDescent="0.2"/>
    <row r="88" s="59" customFormat="1" x14ac:dyDescent="0.2"/>
    <row r="89" s="59" customFormat="1" x14ac:dyDescent="0.2"/>
    <row r="90" s="59" customFormat="1" x14ac:dyDescent="0.2"/>
    <row r="91" s="59" customFormat="1" x14ac:dyDescent="0.2"/>
    <row r="92" s="59" customFormat="1" x14ac:dyDescent="0.2"/>
    <row r="93" s="59" customFormat="1" x14ac:dyDescent="0.2"/>
    <row r="94" s="59" customFormat="1" x14ac:dyDescent="0.2"/>
    <row r="95" s="59" customFormat="1" x14ac:dyDescent="0.2"/>
    <row r="96" s="59" customFormat="1" x14ac:dyDescent="0.2"/>
    <row r="97" s="59" customFormat="1" x14ac:dyDescent="0.2"/>
    <row r="98" s="59" customFormat="1" x14ac:dyDescent="0.2"/>
    <row r="99" s="59" customFormat="1" x14ac:dyDescent="0.2"/>
    <row r="100" s="59" customFormat="1" x14ac:dyDescent="0.2"/>
    <row r="101" s="59" customFormat="1" x14ac:dyDescent="0.2"/>
    <row r="102" s="59" customFormat="1" x14ac:dyDescent="0.2"/>
    <row r="103" s="59" customFormat="1" x14ac:dyDescent="0.2"/>
    <row r="104" s="59" customFormat="1" x14ac:dyDescent="0.2"/>
    <row r="105" s="59" customFormat="1" x14ac:dyDescent="0.2"/>
    <row r="106" s="59" customFormat="1" x14ac:dyDescent="0.2"/>
    <row r="107" s="59" customFormat="1" x14ac:dyDescent="0.2"/>
    <row r="108" s="59" customFormat="1" x14ac:dyDescent="0.2"/>
    <row r="109" s="59" customFormat="1" x14ac:dyDescent="0.2"/>
    <row r="110" s="59" customFormat="1" x14ac:dyDescent="0.2"/>
    <row r="111" s="59" customFormat="1" x14ac:dyDescent="0.2"/>
    <row r="112" s="59" customFormat="1" x14ac:dyDescent="0.2"/>
    <row r="113" s="59" customFormat="1" x14ac:dyDescent="0.2"/>
    <row r="114" s="59" customFormat="1" x14ac:dyDescent="0.2"/>
    <row r="115" s="59" customFormat="1" x14ac:dyDescent="0.2"/>
    <row r="116" s="59" customFormat="1" x14ac:dyDescent="0.2"/>
    <row r="117" s="59" customFormat="1" x14ac:dyDescent="0.2"/>
    <row r="118" s="59" customFormat="1" x14ac:dyDescent="0.2"/>
    <row r="119" s="59" customFormat="1" x14ac:dyDescent="0.2"/>
    <row r="120" s="59" customFormat="1" x14ac:dyDescent="0.2"/>
    <row r="121" s="59" customFormat="1" x14ac:dyDescent="0.2"/>
    <row r="122" s="59" customFormat="1" x14ac:dyDescent="0.2"/>
    <row r="123" s="59" customFormat="1" x14ac:dyDescent="0.2"/>
    <row r="124" s="59" customFormat="1" x14ac:dyDescent="0.2"/>
    <row r="125" s="59" customFormat="1" x14ac:dyDescent="0.2"/>
    <row r="126" s="59" customFormat="1" x14ac:dyDescent="0.2"/>
    <row r="127" s="59" customFormat="1" x14ac:dyDescent="0.2"/>
    <row r="128" s="59" customFormat="1" x14ac:dyDescent="0.2"/>
    <row r="129" s="59" customFormat="1" x14ac:dyDescent="0.2"/>
    <row r="130" s="59" customFormat="1" x14ac:dyDescent="0.2"/>
    <row r="131" s="59" customFormat="1" x14ac:dyDescent="0.2"/>
    <row r="132" s="59" customFormat="1" x14ac:dyDescent="0.2"/>
    <row r="133" s="59" customFormat="1" x14ac:dyDescent="0.2"/>
    <row r="134" s="59" customFormat="1" x14ac:dyDescent="0.2"/>
    <row r="135" s="59" customFormat="1" x14ac:dyDescent="0.2"/>
    <row r="136" s="59" customFormat="1" x14ac:dyDescent="0.2"/>
    <row r="137" s="59" customFormat="1" x14ac:dyDescent="0.2"/>
    <row r="138" s="59" customFormat="1" x14ac:dyDescent="0.2"/>
    <row r="139" s="59" customFormat="1" x14ac:dyDescent="0.2"/>
    <row r="140" s="59" customFormat="1" x14ac:dyDescent="0.2"/>
    <row r="141" s="59" customFormat="1" x14ac:dyDescent="0.2"/>
    <row r="142" s="59" customFormat="1" x14ac:dyDescent="0.2"/>
    <row r="143" s="59" customFormat="1" x14ac:dyDescent="0.2"/>
    <row r="144" s="59" customFormat="1" x14ac:dyDescent="0.2"/>
    <row r="145" s="59" customFormat="1" x14ac:dyDescent="0.2"/>
    <row r="146" s="59" customFormat="1" x14ac:dyDescent="0.2"/>
    <row r="147" s="59" customFormat="1" x14ac:dyDescent="0.2"/>
    <row r="148" s="59" customFormat="1" x14ac:dyDescent="0.2"/>
    <row r="149" s="59" customFormat="1" x14ac:dyDescent="0.2"/>
    <row r="150" s="59" customFormat="1" x14ac:dyDescent="0.2"/>
    <row r="151" s="59" customFormat="1" x14ac:dyDescent="0.2"/>
    <row r="152" s="59" customFormat="1" x14ac:dyDescent="0.2"/>
    <row r="153" s="59" customFormat="1" x14ac:dyDescent="0.2"/>
    <row r="154" s="59" customFormat="1" x14ac:dyDescent="0.2"/>
    <row r="155" s="59" customFormat="1" x14ac:dyDescent="0.2"/>
    <row r="156" s="59" customFormat="1" x14ac:dyDescent="0.2"/>
    <row r="157" s="59" customFormat="1" x14ac:dyDescent="0.2"/>
    <row r="158" s="59" customFormat="1" x14ac:dyDescent="0.2"/>
    <row r="159" s="59" customFormat="1" x14ac:dyDescent="0.2"/>
    <row r="160" s="59" customFormat="1" x14ac:dyDescent="0.2"/>
    <row r="161" s="59" customFormat="1" x14ac:dyDescent="0.2"/>
    <row r="162" s="59" customFormat="1" x14ac:dyDescent="0.2"/>
    <row r="163" s="59" customFormat="1" x14ac:dyDescent="0.2"/>
    <row r="164" s="59" customFormat="1" x14ac:dyDescent="0.2"/>
    <row r="165" s="59" customFormat="1" x14ac:dyDescent="0.2"/>
    <row r="166" s="59" customFormat="1" x14ac:dyDescent="0.2"/>
    <row r="167" s="59" customFormat="1" x14ac:dyDescent="0.2"/>
    <row r="168" s="59" customFormat="1" x14ac:dyDescent="0.2"/>
    <row r="169" s="59" customFormat="1" x14ac:dyDescent="0.2"/>
    <row r="170" s="59" customFormat="1" x14ac:dyDescent="0.2"/>
    <row r="171" s="59" customFormat="1" x14ac:dyDescent="0.2"/>
    <row r="172" s="59" customFormat="1" x14ac:dyDescent="0.2"/>
    <row r="173" s="59" customFormat="1" x14ac:dyDescent="0.2"/>
    <row r="174" s="59" customFormat="1" x14ac:dyDescent="0.2"/>
    <row r="175" s="59" customFormat="1" x14ac:dyDescent="0.2"/>
    <row r="176" s="59" customFormat="1" x14ac:dyDescent="0.2"/>
    <row r="177" s="59" customFormat="1" x14ac:dyDescent="0.2"/>
    <row r="178" s="59" customFormat="1" x14ac:dyDescent="0.2"/>
    <row r="179" s="59" customFormat="1" x14ac:dyDescent="0.2"/>
    <row r="180" s="59" customFormat="1" x14ac:dyDescent="0.2"/>
    <row r="181" s="59" customFormat="1" x14ac:dyDescent="0.2"/>
    <row r="182" s="59" customFormat="1" x14ac:dyDescent="0.2"/>
    <row r="183" s="59" customFormat="1" x14ac:dyDescent="0.2"/>
    <row r="184" s="59" customFormat="1" x14ac:dyDescent="0.2"/>
    <row r="185" s="59" customFormat="1" x14ac:dyDescent="0.2"/>
    <row r="186" s="59" customFormat="1" x14ac:dyDescent="0.2"/>
    <row r="187" s="59" customFormat="1" x14ac:dyDescent="0.2"/>
    <row r="188" s="59" customFormat="1" x14ac:dyDescent="0.2"/>
    <row r="189" s="59" customFormat="1" x14ac:dyDescent="0.2"/>
    <row r="190" s="59" customFormat="1" x14ac:dyDescent="0.2"/>
    <row r="191" s="59" customFormat="1" x14ac:dyDescent="0.2"/>
    <row r="192" s="59" customFormat="1" x14ac:dyDescent="0.2"/>
    <row r="193" s="59" customFormat="1" x14ac:dyDescent="0.2"/>
    <row r="194" s="59" customFormat="1" x14ac:dyDescent="0.2"/>
    <row r="195" s="59" customFormat="1" x14ac:dyDescent="0.2"/>
    <row r="196" s="59" customFormat="1" x14ac:dyDescent="0.2"/>
    <row r="197" s="59" customFormat="1" x14ac:dyDescent="0.2"/>
    <row r="198" s="59" customFormat="1" x14ac:dyDescent="0.2"/>
    <row r="199" s="59" customFormat="1" x14ac:dyDescent="0.2"/>
    <row r="200" s="59" customFormat="1" x14ac:dyDescent="0.2"/>
    <row r="201" s="59" customFormat="1" x14ac:dyDescent="0.2"/>
    <row r="202" s="59" customFormat="1" x14ac:dyDescent="0.2"/>
    <row r="203" s="59" customFormat="1" x14ac:dyDescent="0.2"/>
    <row r="204" s="59" customFormat="1" x14ac:dyDescent="0.2"/>
    <row r="205" s="59" customFormat="1" x14ac:dyDescent="0.2"/>
    <row r="206" s="59" customFormat="1" x14ac:dyDescent="0.2"/>
    <row r="207" s="59" customFormat="1" x14ac:dyDescent="0.2"/>
    <row r="208" s="59" customFormat="1" x14ac:dyDescent="0.2"/>
    <row r="209" s="59" customFormat="1" x14ac:dyDescent="0.2"/>
    <row r="210" s="59" customFormat="1" x14ac:dyDescent="0.2"/>
    <row r="211" s="59" customFormat="1" x14ac:dyDescent="0.2"/>
    <row r="212" s="59" customFormat="1" x14ac:dyDescent="0.2"/>
    <row r="213" s="59" customFormat="1" x14ac:dyDescent="0.2"/>
    <row r="214" s="59" customFormat="1" x14ac:dyDescent="0.2"/>
    <row r="215" s="59" customFormat="1" x14ac:dyDescent="0.2"/>
    <row r="216" s="59" customFormat="1" x14ac:dyDescent="0.2"/>
    <row r="217" s="59" customFormat="1" x14ac:dyDescent="0.2"/>
    <row r="218" s="59" customFormat="1" x14ac:dyDescent="0.2"/>
    <row r="219" s="59" customFormat="1" x14ac:dyDescent="0.2"/>
    <row r="220" s="59" customFormat="1" x14ac:dyDescent="0.2"/>
    <row r="221" s="59" customFormat="1" x14ac:dyDescent="0.2"/>
    <row r="222" s="59" customFormat="1" x14ac:dyDescent="0.2"/>
    <row r="223" s="59" customFormat="1" x14ac:dyDescent="0.2"/>
    <row r="224" s="59" customFormat="1" x14ac:dyDescent="0.2"/>
    <row r="225" s="59" customFormat="1" x14ac:dyDescent="0.2"/>
    <row r="226" s="59" customFormat="1" x14ac:dyDescent="0.2"/>
    <row r="227" s="59" customFormat="1" x14ac:dyDescent="0.2"/>
    <row r="228" s="59" customFormat="1" x14ac:dyDescent="0.2"/>
    <row r="229" s="59" customFormat="1" x14ac:dyDescent="0.2"/>
    <row r="230" s="59" customFormat="1" x14ac:dyDescent="0.2"/>
    <row r="231" s="59" customFormat="1" x14ac:dyDescent="0.2"/>
    <row r="232" s="59" customFormat="1" x14ac:dyDescent="0.2"/>
    <row r="233" s="59" customFormat="1" x14ac:dyDescent="0.2"/>
    <row r="234" s="59" customFormat="1" x14ac:dyDescent="0.2"/>
    <row r="235" s="59" customFormat="1" x14ac:dyDescent="0.2"/>
    <row r="236" s="59" customFormat="1" x14ac:dyDescent="0.2"/>
    <row r="237" s="59" customFormat="1" x14ac:dyDescent="0.2"/>
    <row r="238" s="59" customFormat="1" x14ac:dyDescent="0.2"/>
    <row r="239" s="59" customFormat="1" x14ac:dyDescent="0.2"/>
    <row r="240" s="59" customFormat="1" x14ac:dyDescent="0.2"/>
    <row r="241" s="59" customFormat="1" x14ac:dyDescent="0.2"/>
    <row r="242" s="59" customFormat="1" x14ac:dyDescent="0.2"/>
    <row r="243" s="59" customFormat="1" x14ac:dyDescent="0.2"/>
    <row r="244" s="59" customFormat="1" x14ac:dyDescent="0.2"/>
    <row r="245" s="59" customFormat="1" x14ac:dyDescent="0.2"/>
    <row r="246" s="59" customFormat="1" x14ac:dyDescent="0.2"/>
    <row r="247" s="59" customFormat="1" x14ac:dyDescent="0.2"/>
    <row r="248" s="59" customFormat="1" x14ac:dyDescent="0.2"/>
    <row r="249" s="59" customFormat="1" x14ac:dyDescent="0.2"/>
    <row r="250" s="59" customFormat="1" x14ac:dyDescent="0.2"/>
    <row r="251" s="59" customFormat="1" x14ac:dyDescent="0.2"/>
    <row r="252" s="59" customFormat="1" x14ac:dyDescent="0.2"/>
    <row r="253" s="59" customFormat="1" x14ac:dyDescent="0.2"/>
    <row r="254" s="59" customFormat="1" x14ac:dyDescent="0.2"/>
    <row r="255" s="59" customFormat="1" x14ac:dyDescent="0.2"/>
    <row r="256" s="59" customFormat="1" x14ac:dyDescent="0.2"/>
    <row r="257" s="59" customFormat="1" x14ac:dyDescent="0.2"/>
    <row r="258" s="59" customFormat="1" x14ac:dyDescent="0.2"/>
    <row r="259" s="59" customFormat="1" x14ac:dyDescent="0.2"/>
    <row r="260" s="59" customFormat="1" x14ac:dyDescent="0.2"/>
    <row r="261" s="59" customFormat="1" x14ac:dyDescent="0.2"/>
    <row r="262" s="59" customFormat="1" x14ac:dyDescent="0.2"/>
    <row r="263" s="59" customFormat="1" x14ac:dyDescent="0.2"/>
    <row r="264" s="59" customFormat="1" x14ac:dyDescent="0.2"/>
    <row r="265" s="59" customFormat="1" x14ac:dyDescent="0.2"/>
    <row r="266" s="59" customFormat="1" x14ac:dyDescent="0.2"/>
    <row r="267" s="59" customFormat="1" x14ac:dyDescent="0.2"/>
    <row r="268" s="59" customFormat="1" x14ac:dyDescent="0.2"/>
    <row r="269" s="59" customFormat="1" x14ac:dyDescent="0.2"/>
    <row r="270" s="59" customFormat="1" x14ac:dyDescent="0.2"/>
    <row r="271" s="59" customFormat="1" x14ac:dyDescent="0.2"/>
    <row r="272" s="59" customFormat="1" x14ac:dyDescent="0.2"/>
    <row r="273" s="59" customFormat="1" x14ac:dyDescent="0.2"/>
    <row r="274" s="59" customFormat="1" x14ac:dyDescent="0.2"/>
    <row r="275" s="59" customFormat="1" x14ac:dyDescent="0.2"/>
    <row r="276" s="59" customFormat="1" x14ac:dyDescent="0.2"/>
    <row r="277" s="59" customFormat="1" x14ac:dyDescent="0.2"/>
    <row r="278" s="59" customFormat="1" x14ac:dyDescent="0.2"/>
    <row r="279" s="59" customFormat="1" x14ac:dyDescent="0.2"/>
    <row r="280" s="59" customFormat="1" x14ac:dyDescent="0.2"/>
    <row r="281" s="59" customFormat="1" x14ac:dyDescent="0.2"/>
    <row r="282" s="59" customFormat="1" x14ac:dyDescent="0.2"/>
    <row r="283" s="59" customFormat="1" x14ac:dyDescent="0.2"/>
    <row r="284" s="59" customFormat="1" x14ac:dyDescent="0.2"/>
    <row r="285" s="59" customFormat="1" x14ac:dyDescent="0.2"/>
    <row r="286" s="59" customFormat="1" x14ac:dyDescent="0.2"/>
    <row r="287" s="59" customFormat="1" x14ac:dyDescent="0.2"/>
    <row r="288" s="59" customFormat="1" x14ac:dyDescent="0.2"/>
    <row r="289" s="59" customFormat="1" x14ac:dyDescent="0.2"/>
    <row r="290" s="59" customFormat="1" x14ac:dyDescent="0.2"/>
    <row r="291" s="59" customFormat="1" x14ac:dyDescent="0.2"/>
    <row r="292" s="59" customFormat="1" x14ac:dyDescent="0.2"/>
    <row r="293" s="59" customFormat="1" x14ac:dyDescent="0.2"/>
    <row r="294" s="59" customFormat="1" x14ac:dyDescent="0.2"/>
    <row r="295" s="59" customFormat="1" x14ac:dyDescent="0.2"/>
    <row r="296" s="59" customFormat="1" x14ac:dyDescent="0.2"/>
    <row r="297" s="59" customFormat="1" x14ac:dyDescent="0.2"/>
    <row r="298" s="59" customFormat="1" x14ac:dyDescent="0.2"/>
    <row r="299" s="59" customFormat="1" x14ac:dyDescent="0.2"/>
    <row r="300" s="59" customFormat="1" x14ac:dyDescent="0.2"/>
    <row r="301" s="59" customFormat="1" x14ac:dyDescent="0.2"/>
    <row r="302" s="59" customFormat="1" x14ac:dyDescent="0.2"/>
    <row r="303" s="59" customFormat="1" x14ac:dyDescent="0.2"/>
    <row r="304" s="59" customFormat="1" x14ac:dyDescent="0.2"/>
    <row r="305" s="59" customFormat="1" x14ac:dyDescent="0.2"/>
    <row r="306" s="59" customFormat="1" x14ac:dyDescent="0.2"/>
    <row r="307" s="59" customFormat="1" x14ac:dyDescent="0.2"/>
    <row r="308" s="59" customFormat="1" x14ac:dyDescent="0.2"/>
    <row r="309" s="59" customFormat="1" x14ac:dyDescent="0.2"/>
    <row r="310" s="59" customFormat="1" x14ac:dyDescent="0.2"/>
    <row r="311" s="59" customFormat="1" x14ac:dyDescent="0.2"/>
    <row r="312" s="59" customFormat="1" x14ac:dyDescent="0.2"/>
    <row r="313" s="59" customFormat="1" x14ac:dyDescent="0.2"/>
    <row r="314" s="59" customFormat="1" x14ac:dyDescent="0.2"/>
    <row r="315" s="59" customFormat="1" x14ac:dyDescent="0.2"/>
    <row r="316" s="59" customFormat="1" x14ac:dyDescent="0.2"/>
    <row r="317" s="59" customFormat="1" x14ac:dyDescent="0.2"/>
    <row r="318" s="59" customFormat="1" x14ac:dyDescent="0.2"/>
    <row r="319" s="59" customFormat="1" x14ac:dyDescent="0.2"/>
    <row r="320" s="59" customFormat="1" x14ac:dyDescent="0.2"/>
    <row r="321" s="59" customFormat="1" x14ac:dyDescent="0.2"/>
    <row r="322" s="59" customFormat="1" x14ac:dyDescent="0.2"/>
    <row r="323" s="59" customFormat="1" x14ac:dyDescent="0.2"/>
    <row r="324" s="59" customFormat="1" x14ac:dyDescent="0.2"/>
    <row r="325" s="59" customFormat="1" x14ac:dyDescent="0.2"/>
    <row r="326" s="59" customFormat="1" x14ac:dyDescent="0.2"/>
    <row r="327" s="59" customFormat="1" x14ac:dyDescent="0.2"/>
    <row r="328" s="59" customFormat="1" x14ac:dyDescent="0.2"/>
    <row r="329" s="59" customFormat="1" x14ac:dyDescent="0.2"/>
    <row r="330" s="59" customFormat="1" x14ac:dyDescent="0.2"/>
    <row r="331" s="59" customFormat="1" x14ac:dyDescent="0.2"/>
    <row r="332" s="59" customFormat="1" x14ac:dyDescent="0.2"/>
    <row r="333" s="59" customFormat="1" x14ac:dyDescent="0.2"/>
    <row r="334" s="59" customFormat="1" x14ac:dyDescent="0.2"/>
    <row r="335" s="59" customFormat="1" x14ac:dyDescent="0.2"/>
    <row r="336" s="59" customFormat="1" x14ac:dyDescent="0.2"/>
    <row r="337" s="59" customFormat="1" x14ac:dyDescent="0.2"/>
    <row r="338" s="59" customFormat="1" x14ac:dyDescent="0.2"/>
    <row r="339" s="59" customFormat="1" x14ac:dyDescent="0.2"/>
    <row r="340" s="59" customFormat="1" x14ac:dyDescent="0.2"/>
    <row r="341" s="59" customFormat="1" x14ac:dyDescent="0.2"/>
    <row r="342" s="59" customFormat="1" x14ac:dyDescent="0.2"/>
    <row r="343" s="59" customFormat="1" x14ac:dyDescent="0.2"/>
    <row r="344" s="59" customFormat="1" x14ac:dyDescent="0.2"/>
    <row r="345" s="59" customFormat="1" x14ac:dyDescent="0.2"/>
    <row r="346" s="59" customFormat="1" x14ac:dyDescent="0.2"/>
    <row r="347" s="59" customFormat="1" x14ac:dyDescent="0.2"/>
    <row r="348" s="59" customFormat="1" x14ac:dyDescent="0.2"/>
    <row r="349" s="59" customFormat="1" x14ac:dyDescent="0.2"/>
    <row r="350" s="59" customFormat="1" x14ac:dyDescent="0.2"/>
    <row r="351" s="59" customFormat="1" x14ac:dyDescent="0.2"/>
    <row r="352" s="59" customFormat="1" x14ac:dyDescent="0.2"/>
    <row r="353" s="59" customFormat="1" x14ac:dyDescent="0.2"/>
    <row r="354" s="59" customFormat="1" x14ac:dyDescent="0.2"/>
    <row r="355" s="59" customFormat="1" x14ac:dyDescent="0.2"/>
    <row r="356" s="59" customFormat="1" x14ac:dyDescent="0.2"/>
    <row r="357" s="59" customFormat="1" x14ac:dyDescent="0.2"/>
    <row r="358" s="59" customFormat="1" x14ac:dyDescent="0.2"/>
    <row r="359" s="59" customFormat="1" x14ac:dyDescent="0.2"/>
    <row r="360" s="59" customFormat="1" x14ac:dyDescent="0.2"/>
    <row r="361" s="59" customFormat="1" x14ac:dyDescent="0.2"/>
    <row r="362" s="59" customFormat="1" x14ac:dyDescent="0.2"/>
    <row r="363" s="59" customFormat="1" x14ac:dyDescent="0.2"/>
    <row r="364" s="59" customFormat="1" x14ac:dyDescent="0.2"/>
    <row r="365" s="59" customFormat="1" x14ac:dyDescent="0.2"/>
    <row r="366" s="59" customFormat="1" x14ac:dyDescent="0.2"/>
    <row r="367" s="59" customFormat="1" x14ac:dyDescent="0.2"/>
    <row r="368" s="59" customFormat="1" x14ac:dyDescent="0.2"/>
    <row r="369" s="59" customFormat="1" x14ac:dyDescent="0.2"/>
    <row r="370" s="59" customFormat="1" x14ac:dyDescent="0.2"/>
    <row r="371" s="59" customFormat="1" x14ac:dyDescent="0.2"/>
    <row r="372" s="59" customFormat="1" x14ac:dyDescent="0.2"/>
    <row r="373" s="59" customFormat="1" x14ac:dyDescent="0.2"/>
    <row r="374" s="59" customFormat="1" x14ac:dyDescent="0.2"/>
    <row r="375" s="59" customFormat="1" x14ac:dyDescent="0.2"/>
    <row r="376" s="59" customFormat="1" x14ac:dyDescent="0.2"/>
    <row r="377" s="59" customFormat="1" x14ac:dyDescent="0.2"/>
    <row r="378" s="59" customFormat="1" x14ac:dyDescent="0.2"/>
    <row r="379" s="59" customFormat="1" x14ac:dyDescent="0.2"/>
    <row r="380" s="59" customFormat="1" x14ac:dyDescent="0.2"/>
    <row r="381" s="59" customFormat="1" x14ac:dyDescent="0.2"/>
    <row r="382" s="59" customFormat="1" x14ac:dyDescent="0.2"/>
    <row r="383" s="59" customFormat="1" x14ac:dyDescent="0.2"/>
    <row r="384" s="59" customFormat="1" x14ac:dyDescent="0.2"/>
    <row r="385" s="59" customFormat="1" x14ac:dyDescent="0.2"/>
    <row r="386" s="59" customFormat="1" x14ac:dyDescent="0.2"/>
    <row r="387" s="59" customFormat="1" x14ac:dyDescent="0.2"/>
    <row r="388" s="59" customFormat="1" x14ac:dyDescent="0.2"/>
    <row r="389" s="59" customFormat="1" x14ac:dyDescent="0.2"/>
    <row r="390" s="59" customFormat="1" x14ac:dyDescent="0.2"/>
    <row r="391" s="59" customFormat="1" x14ac:dyDescent="0.2"/>
    <row r="392" s="59" customFormat="1" x14ac:dyDescent="0.2"/>
    <row r="393" s="59" customFormat="1" x14ac:dyDescent="0.2"/>
    <row r="394" s="59" customFormat="1" x14ac:dyDescent="0.2"/>
    <row r="395" s="59" customFormat="1" x14ac:dyDescent="0.2"/>
    <row r="396" s="59" customFormat="1" x14ac:dyDescent="0.2"/>
    <row r="397" s="59" customFormat="1" x14ac:dyDescent="0.2"/>
    <row r="398" s="59" customFormat="1" x14ac:dyDescent="0.2"/>
    <row r="399" s="59" customFormat="1" x14ac:dyDescent="0.2"/>
    <row r="400" s="59" customFormat="1" x14ac:dyDescent="0.2"/>
    <row r="401" s="59" customFormat="1" x14ac:dyDescent="0.2"/>
    <row r="402" s="59" customFormat="1" x14ac:dyDescent="0.2"/>
    <row r="403" s="59" customFormat="1" x14ac:dyDescent="0.2"/>
    <row r="404" s="59" customFormat="1" x14ac:dyDescent="0.2"/>
    <row r="405" s="59" customFormat="1" x14ac:dyDescent="0.2"/>
    <row r="406" s="59" customFormat="1" x14ac:dyDescent="0.2"/>
    <row r="407" s="59" customFormat="1" x14ac:dyDescent="0.2"/>
    <row r="408" s="59" customFormat="1" x14ac:dyDescent="0.2"/>
    <row r="409" s="59" customFormat="1" x14ac:dyDescent="0.2"/>
    <row r="410" s="59" customFormat="1" x14ac:dyDescent="0.2"/>
    <row r="411" s="59" customFormat="1" x14ac:dyDescent="0.2"/>
    <row r="412" s="59" customFormat="1" x14ac:dyDescent="0.2"/>
    <row r="413" s="59" customFormat="1" x14ac:dyDescent="0.2"/>
    <row r="414" s="59" customFormat="1" x14ac:dyDescent="0.2"/>
    <row r="415" s="59" customFormat="1" x14ac:dyDescent="0.2"/>
    <row r="416" s="59" customFormat="1" x14ac:dyDescent="0.2"/>
    <row r="417" s="59" customFormat="1" x14ac:dyDescent="0.2"/>
    <row r="418" s="59" customFormat="1" x14ac:dyDescent="0.2"/>
    <row r="419" s="59" customFormat="1" x14ac:dyDescent="0.2"/>
    <row r="420" s="59" customFormat="1" x14ac:dyDescent="0.2"/>
    <row r="421" s="59" customFormat="1" x14ac:dyDescent="0.2"/>
    <row r="422" s="59" customFormat="1" x14ac:dyDescent="0.2"/>
    <row r="423" s="59" customFormat="1" x14ac:dyDescent="0.2"/>
    <row r="424" s="59" customFormat="1" x14ac:dyDescent="0.2"/>
    <row r="425" s="59" customFormat="1" x14ac:dyDescent="0.2"/>
    <row r="426" s="59" customFormat="1" x14ac:dyDescent="0.2"/>
    <row r="427" s="59" customFormat="1" x14ac:dyDescent="0.2"/>
    <row r="428" s="59" customFormat="1" x14ac:dyDescent="0.2"/>
    <row r="429" s="59" customFormat="1" x14ac:dyDescent="0.2"/>
    <row r="430" s="59" customFormat="1" x14ac:dyDescent="0.2"/>
    <row r="431" s="59" customFormat="1" x14ac:dyDescent="0.2"/>
    <row r="432" s="59" customFormat="1" x14ac:dyDescent="0.2"/>
    <row r="433" s="59" customFormat="1" x14ac:dyDescent="0.2"/>
    <row r="434" s="59" customFormat="1" x14ac:dyDescent="0.2"/>
    <row r="435" s="59" customFormat="1" x14ac:dyDescent="0.2"/>
    <row r="436" s="59" customFormat="1" x14ac:dyDescent="0.2"/>
    <row r="437" s="59" customFormat="1" x14ac:dyDescent="0.2"/>
    <row r="438" s="59" customFormat="1" x14ac:dyDescent="0.2"/>
    <row r="439" s="59" customFormat="1" x14ac:dyDescent="0.2"/>
    <row r="440" s="59" customFormat="1" x14ac:dyDescent="0.2"/>
    <row r="441" s="59" customFormat="1" x14ac:dyDescent="0.2"/>
    <row r="442" s="59" customFormat="1" x14ac:dyDescent="0.2"/>
    <row r="443" s="59" customFormat="1" x14ac:dyDescent="0.2"/>
    <row r="444" s="59" customFormat="1" x14ac:dyDescent="0.2"/>
    <row r="445" s="59" customFormat="1" x14ac:dyDescent="0.2"/>
    <row r="446" s="59" customFormat="1" x14ac:dyDescent="0.2"/>
    <row r="447" s="59" customFormat="1" x14ac:dyDescent="0.2"/>
    <row r="448" s="59" customFormat="1" x14ac:dyDescent="0.2"/>
    <row r="449" s="59" customFormat="1" x14ac:dyDescent="0.2"/>
    <row r="450" s="59" customFormat="1" x14ac:dyDescent="0.2"/>
    <row r="451" s="59" customFormat="1" x14ac:dyDescent="0.2"/>
    <row r="452" s="59" customFormat="1" x14ac:dyDescent="0.2"/>
    <row r="453" s="59" customFormat="1" x14ac:dyDescent="0.2"/>
    <row r="454" s="59" customFormat="1" x14ac:dyDescent="0.2"/>
    <row r="455" s="59" customFormat="1" x14ac:dyDescent="0.2"/>
    <row r="456" s="59" customFormat="1" x14ac:dyDescent="0.2"/>
    <row r="457" s="59" customFormat="1" x14ac:dyDescent="0.2"/>
    <row r="458" s="59" customFormat="1" x14ac:dyDescent="0.2"/>
    <row r="459" s="59" customFormat="1" x14ac:dyDescent="0.2"/>
    <row r="460" s="59" customFormat="1" x14ac:dyDescent="0.2"/>
    <row r="461" s="59" customFormat="1" x14ac:dyDescent="0.2"/>
    <row r="462" s="59" customFormat="1" x14ac:dyDescent="0.2"/>
    <row r="463" s="59" customFormat="1" x14ac:dyDescent="0.2"/>
    <row r="464" s="59" customFormat="1" x14ac:dyDescent="0.2"/>
    <row r="465" s="59" customFormat="1" x14ac:dyDescent="0.2"/>
    <row r="466" s="59" customFormat="1" x14ac:dyDescent="0.2"/>
    <row r="467" s="59" customFormat="1" x14ac:dyDescent="0.2"/>
    <row r="468" s="59" customFormat="1" x14ac:dyDescent="0.2"/>
    <row r="469" s="59" customFormat="1" x14ac:dyDescent="0.2"/>
    <row r="470" s="59" customFormat="1" x14ac:dyDescent="0.2"/>
    <row r="471" s="59" customFormat="1" x14ac:dyDescent="0.2"/>
    <row r="472" s="59" customFormat="1" x14ac:dyDescent="0.2"/>
    <row r="473" s="59" customFormat="1" x14ac:dyDescent="0.2"/>
    <row r="474" s="59" customFormat="1" x14ac:dyDescent="0.2"/>
    <row r="475" s="59" customFormat="1" x14ac:dyDescent="0.2"/>
    <row r="476" s="59" customFormat="1" x14ac:dyDescent="0.2"/>
    <row r="477" s="59" customFormat="1" x14ac:dyDescent="0.2"/>
    <row r="478" s="59" customFormat="1" x14ac:dyDescent="0.2"/>
    <row r="479" s="59" customFormat="1" x14ac:dyDescent="0.2"/>
    <row r="480" s="59" customFormat="1" x14ac:dyDescent="0.2"/>
    <row r="481" s="59" customFormat="1" x14ac:dyDescent="0.2"/>
    <row r="482" s="59" customFormat="1" x14ac:dyDescent="0.2"/>
    <row r="483" s="59" customFormat="1" x14ac:dyDescent="0.2"/>
    <row r="484" s="59" customFormat="1" x14ac:dyDescent="0.2"/>
    <row r="485" s="59" customFormat="1" x14ac:dyDescent="0.2"/>
    <row r="486" s="59" customFormat="1" x14ac:dyDescent="0.2"/>
    <row r="487" s="59" customFormat="1" x14ac:dyDescent="0.2"/>
    <row r="488" s="59" customFormat="1" x14ac:dyDescent="0.2"/>
    <row r="489" s="59" customFormat="1" x14ac:dyDescent="0.2"/>
    <row r="490" s="59" customFormat="1" x14ac:dyDescent="0.2"/>
    <row r="491" s="59" customFormat="1" x14ac:dyDescent="0.2"/>
    <row r="492" s="59" customFormat="1" x14ac:dyDescent="0.2"/>
    <row r="493" s="59" customFormat="1" x14ac:dyDescent="0.2"/>
    <row r="494" s="59" customFormat="1" x14ac:dyDescent="0.2"/>
    <row r="495" s="59" customFormat="1" x14ac:dyDescent="0.2"/>
    <row r="496" s="59" customFormat="1" x14ac:dyDescent="0.2"/>
    <row r="497" s="59" customFormat="1" x14ac:dyDescent="0.2"/>
    <row r="498" s="59" customFormat="1" x14ac:dyDescent="0.2"/>
    <row r="499" s="59" customFormat="1" x14ac:dyDescent="0.2"/>
    <row r="500" s="59" customFormat="1" x14ac:dyDescent="0.2"/>
    <row r="501" s="59" customFormat="1" x14ac:dyDescent="0.2"/>
    <row r="502" s="59" customFormat="1" x14ac:dyDescent="0.2"/>
    <row r="503" s="59" customFormat="1" x14ac:dyDescent="0.2"/>
    <row r="504" s="59" customFormat="1" x14ac:dyDescent="0.2"/>
    <row r="505" s="59" customFormat="1" x14ac:dyDescent="0.2"/>
    <row r="506" s="59" customFormat="1" x14ac:dyDescent="0.2"/>
    <row r="507" s="59" customFormat="1" x14ac:dyDescent="0.2"/>
    <row r="508" s="59" customFormat="1" x14ac:dyDescent="0.2"/>
    <row r="509" s="59" customFormat="1" x14ac:dyDescent="0.2"/>
    <row r="510" s="59" customFormat="1" x14ac:dyDescent="0.2"/>
    <row r="511" s="59" customFormat="1" x14ac:dyDescent="0.2"/>
    <row r="512" s="59" customFormat="1" x14ac:dyDescent="0.2"/>
    <row r="513" s="59" customFormat="1" x14ac:dyDescent="0.2"/>
    <row r="514" s="59" customFormat="1" x14ac:dyDescent="0.2"/>
    <row r="515" s="59" customFormat="1" x14ac:dyDescent="0.2"/>
    <row r="516" s="59" customFormat="1" x14ac:dyDescent="0.2"/>
    <row r="517" s="59" customFormat="1" x14ac:dyDescent="0.2"/>
    <row r="518" s="59" customFormat="1" x14ac:dyDescent="0.2"/>
    <row r="519" s="59" customFormat="1" x14ac:dyDescent="0.2"/>
    <row r="520" s="59" customFormat="1" x14ac:dyDescent="0.2"/>
    <row r="521" s="59" customFormat="1" x14ac:dyDescent="0.2"/>
    <row r="522" s="59" customFormat="1" x14ac:dyDescent="0.2"/>
    <row r="523" s="59" customFormat="1" x14ac:dyDescent="0.2"/>
    <row r="524" s="59" customFormat="1" x14ac:dyDescent="0.2"/>
    <row r="525" s="59" customFormat="1" x14ac:dyDescent="0.2"/>
    <row r="526" s="59" customFormat="1" x14ac:dyDescent="0.2"/>
    <row r="527" s="59" customFormat="1" x14ac:dyDescent="0.2"/>
    <row r="528" s="59" customFormat="1" x14ac:dyDescent="0.2"/>
    <row r="529" s="59" customFormat="1" x14ac:dyDescent="0.2"/>
    <row r="530" s="59" customFormat="1" x14ac:dyDescent="0.2"/>
    <row r="531" s="59" customFormat="1" x14ac:dyDescent="0.2"/>
    <row r="532" s="59" customFormat="1" x14ac:dyDescent="0.2"/>
    <row r="533" s="59" customFormat="1" x14ac:dyDescent="0.2"/>
    <row r="534" s="59" customFormat="1" x14ac:dyDescent="0.2"/>
    <row r="535" s="59" customFormat="1" x14ac:dyDescent="0.2"/>
    <row r="536" s="59" customFormat="1" x14ac:dyDescent="0.2"/>
    <row r="537" s="59" customFormat="1" x14ac:dyDescent="0.2"/>
    <row r="538" s="59" customFormat="1" x14ac:dyDescent="0.2"/>
    <row r="539" s="59" customFormat="1" x14ac:dyDescent="0.2"/>
    <row r="540" s="59" customFormat="1" x14ac:dyDescent="0.2"/>
    <row r="541" s="59" customFormat="1" x14ac:dyDescent="0.2"/>
    <row r="542" s="59" customFormat="1" x14ac:dyDescent="0.2"/>
    <row r="543" s="59" customFormat="1" x14ac:dyDescent="0.2"/>
    <row r="544" s="59" customFormat="1" x14ac:dyDescent="0.2"/>
    <row r="545" s="59" customFormat="1" x14ac:dyDescent="0.2"/>
    <row r="546" s="59" customFormat="1" x14ac:dyDescent="0.2"/>
    <row r="547" s="59" customFormat="1" x14ac:dyDescent="0.2"/>
    <row r="548" s="59" customFormat="1" x14ac:dyDescent="0.2"/>
    <row r="549" s="59" customFormat="1" x14ac:dyDescent="0.2"/>
    <row r="550" s="59" customFormat="1" x14ac:dyDescent="0.2"/>
    <row r="551" s="59" customFormat="1" x14ac:dyDescent="0.2"/>
    <row r="552" s="59" customFormat="1" x14ac:dyDescent="0.2"/>
    <row r="553" s="59" customFormat="1" x14ac:dyDescent="0.2"/>
    <row r="554" s="59" customFormat="1" x14ac:dyDescent="0.2"/>
    <row r="555" s="59" customFormat="1" x14ac:dyDescent="0.2"/>
    <row r="556" s="59" customFormat="1" x14ac:dyDescent="0.2"/>
    <row r="557" s="59" customFormat="1" x14ac:dyDescent="0.2"/>
    <row r="558" s="59" customFormat="1" x14ac:dyDescent="0.2"/>
    <row r="559" s="59" customFormat="1" x14ac:dyDescent="0.2"/>
    <row r="560" s="59" customFormat="1" x14ac:dyDescent="0.2"/>
    <row r="561" s="59" customFormat="1" x14ac:dyDescent="0.2"/>
    <row r="562" s="59" customFormat="1" x14ac:dyDescent="0.2"/>
    <row r="563" s="59" customFormat="1" x14ac:dyDescent="0.2"/>
    <row r="564" s="59" customFormat="1" x14ac:dyDescent="0.2"/>
    <row r="565" s="59" customFormat="1" x14ac:dyDescent="0.2"/>
    <row r="566" s="59" customFormat="1" x14ac:dyDescent="0.2"/>
    <row r="567" s="59" customFormat="1" x14ac:dyDescent="0.2"/>
    <row r="568" s="59" customFormat="1" x14ac:dyDescent="0.2"/>
    <row r="569" s="59" customFormat="1" x14ac:dyDescent="0.2"/>
    <row r="570" s="59" customFormat="1" x14ac:dyDescent="0.2"/>
    <row r="571" s="59" customFormat="1" x14ac:dyDescent="0.2"/>
    <row r="572" s="59" customFormat="1" x14ac:dyDescent="0.2"/>
    <row r="573" s="59" customFormat="1" x14ac:dyDescent="0.2"/>
    <row r="574" s="59" customFormat="1" x14ac:dyDescent="0.2"/>
    <row r="575" s="59" customFormat="1" x14ac:dyDescent="0.2"/>
    <row r="576" s="59" customFormat="1" x14ac:dyDescent="0.2"/>
    <row r="577" s="59" customFormat="1" x14ac:dyDescent="0.2"/>
    <row r="578" s="59" customFormat="1" x14ac:dyDescent="0.2"/>
    <row r="579" s="59" customFormat="1" x14ac:dyDescent="0.2"/>
    <row r="580" s="59" customFormat="1" x14ac:dyDescent="0.2"/>
    <row r="581" s="59" customFormat="1" x14ac:dyDescent="0.2"/>
    <row r="582" s="59" customFormat="1" x14ac:dyDescent="0.2"/>
    <row r="583" s="59" customFormat="1" x14ac:dyDescent="0.2"/>
    <row r="584" s="59" customFormat="1" x14ac:dyDescent="0.2"/>
    <row r="585" s="59" customFormat="1" x14ac:dyDescent="0.2"/>
    <row r="586" s="59" customFormat="1" x14ac:dyDescent="0.2"/>
    <row r="587" s="59" customFormat="1" x14ac:dyDescent="0.2"/>
    <row r="588" s="59" customFormat="1" x14ac:dyDescent="0.2"/>
    <row r="589" s="59" customFormat="1" x14ac:dyDescent="0.2"/>
    <row r="590" s="59" customFormat="1" x14ac:dyDescent="0.2"/>
    <row r="591" s="59" customFormat="1" x14ac:dyDescent="0.2"/>
    <row r="592" s="59" customFormat="1" x14ac:dyDescent="0.2"/>
    <row r="593" s="59" customFormat="1" x14ac:dyDescent="0.2"/>
    <row r="594" s="59" customFormat="1" x14ac:dyDescent="0.2"/>
    <row r="595" s="59" customFormat="1" x14ac:dyDescent="0.2"/>
    <row r="596" s="59" customFormat="1" x14ac:dyDescent="0.2"/>
    <row r="597" s="59" customFormat="1" x14ac:dyDescent="0.2"/>
    <row r="598" s="59" customFormat="1" x14ac:dyDescent="0.2"/>
    <row r="599" s="59" customFormat="1" x14ac:dyDescent="0.2"/>
    <row r="600" s="59" customFormat="1" x14ac:dyDescent="0.2"/>
    <row r="601" s="59" customFormat="1" x14ac:dyDescent="0.2"/>
    <row r="602" s="59" customFormat="1" x14ac:dyDescent="0.2"/>
    <row r="603" s="59" customFormat="1" x14ac:dyDescent="0.2"/>
    <row r="604" s="59" customFormat="1" x14ac:dyDescent="0.2"/>
    <row r="605" s="59" customFormat="1" x14ac:dyDescent="0.2"/>
    <row r="606" s="59" customFormat="1" x14ac:dyDescent="0.2"/>
    <row r="607" s="59" customFormat="1" x14ac:dyDescent="0.2"/>
    <row r="608" s="59" customFormat="1" x14ac:dyDescent="0.2"/>
    <row r="609" s="59" customFormat="1" x14ac:dyDescent="0.2"/>
    <row r="610" s="59" customFormat="1" x14ac:dyDescent="0.2"/>
    <row r="611" s="59" customFormat="1" x14ac:dyDescent="0.2"/>
    <row r="612" s="59" customFormat="1" x14ac:dyDescent="0.2"/>
    <row r="613" s="59" customFormat="1" x14ac:dyDescent="0.2"/>
    <row r="614" s="59" customFormat="1" x14ac:dyDescent="0.2"/>
    <row r="615" s="59" customFormat="1" x14ac:dyDescent="0.2"/>
    <row r="616" s="59" customFormat="1" x14ac:dyDescent="0.2"/>
    <row r="617" s="59" customFormat="1" x14ac:dyDescent="0.2"/>
    <row r="618" s="59" customFormat="1" x14ac:dyDescent="0.2"/>
    <row r="619" s="59" customFormat="1" x14ac:dyDescent="0.2"/>
    <row r="620" s="59" customFormat="1" x14ac:dyDescent="0.2"/>
    <row r="621" s="59" customFormat="1" x14ac:dyDescent="0.2"/>
    <row r="622" s="59" customFormat="1" x14ac:dyDescent="0.2"/>
    <row r="623" s="59" customFormat="1" x14ac:dyDescent="0.2"/>
    <row r="624" s="59" customFormat="1" x14ac:dyDescent="0.2"/>
    <row r="625" s="59" customFormat="1" x14ac:dyDescent="0.2"/>
    <row r="626" s="59" customFormat="1" x14ac:dyDescent="0.2"/>
    <row r="627" s="59" customFormat="1" x14ac:dyDescent="0.2"/>
    <row r="628" s="59" customFormat="1" x14ac:dyDescent="0.2"/>
    <row r="629" s="59" customFormat="1" x14ac:dyDescent="0.2"/>
    <row r="630" s="59" customFormat="1" x14ac:dyDescent="0.2"/>
    <row r="631" s="59" customFormat="1" x14ac:dyDescent="0.2"/>
    <row r="632" s="59" customFormat="1" x14ac:dyDescent="0.2"/>
    <row r="633" s="59" customFormat="1" x14ac:dyDescent="0.2"/>
    <row r="634" s="59" customFormat="1" x14ac:dyDescent="0.2"/>
    <row r="635" s="59" customFormat="1" x14ac:dyDescent="0.2"/>
    <row r="636" s="59" customFormat="1" x14ac:dyDescent="0.2"/>
    <row r="637" s="59" customFormat="1" x14ac:dyDescent="0.2"/>
    <row r="638" s="59" customFormat="1" x14ac:dyDescent="0.2"/>
    <row r="639" s="59" customFormat="1" x14ac:dyDescent="0.2"/>
    <row r="640" s="59" customFormat="1" x14ac:dyDescent="0.2"/>
    <row r="641" s="59" customFormat="1" x14ac:dyDescent="0.2"/>
    <row r="642" s="59" customFormat="1" x14ac:dyDescent="0.2"/>
    <row r="643" s="59" customFormat="1" x14ac:dyDescent="0.2"/>
    <row r="644" s="59" customFormat="1" x14ac:dyDescent="0.2"/>
    <row r="645" s="59" customFormat="1" x14ac:dyDescent="0.2"/>
    <row r="646" s="59" customFormat="1" x14ac:dyDescent="0.2"/>
    <row r="647" s="59" customFormat="1" x14ac:dyDescent="0.2"/>
    <row r="648" s="59" customFormat="1" x14ac:dyDescent="0.2"/>
    <row r="649" s="59" customFormat="1" x14ac:dyDescent="0.2"/>
    <row r="650" s="59" customFormat="1" x14ac:dyDescent="0.2"/>
    <row r="651" s="59" customFormat="1" x14ac:dyDescent="0.2"/>
    <row r="652" s="59" customFormat="1" x14ac:dyDescent="0.2"/>
    <row r="653" s="59" customFormat="1" x14ac:dyDescent="0.2"/>
    <row r="654" s="59" customFormat="1" x14ac:dyDescent="0.2"/>
    <row r="655" s="59" customFormat="1" x14ac:dyDescent="0.2"/>
    <row r="656" s="59" customFormat="1" x14ac:dyDescent="0.2"/>
    <row r="657" s="59" customFormat="1" x14ac:dyDescent="0.2"/>
    <row r="658" s="59" customFormat="1" x14ac:dyDescent="0.2"/>
    <row r="659" s="59" customFormat="1" x14ac:dyDescent="0.2"/>
    <row r="660" s="59" customFormat="1" x14ac:dyDescent="0.2"/>
    <row r="661" s="59" customFormat="1" x14ac:dyDescent="0.2"/>
    <row r="662" s="59" customFormat="1" x14ac:dyDescent="0.2"/>
    <row r="663" s="59" customFormat="1" x14ac:dyDescent="0.2"/>
    <row r="664" s="59" customFormat="1" x14ac:dyDescent="0.2"/>
    <row r="665" s="59" customFormat="1" x14ac:dyDescent="0.2"/>
    <row r="666" s="59" customFormat="1" x14ac:dyDescent="0.2"/>
    <row r="667" s="59" customFormat="1" x14ac:dyDescent="0.2"/>
    <row r="668" s="59" customFormat="1" x14ac:dyDescent="0.2"/>
    <row r="669" s="59" customFormat="1" x14ac:dyDescent="0.2"/>
    <row r="670" s="59" customFormat="1" x14ac:dyDescent="0.2"/>
    <row r="671" s="59" customFormat="1" x14ac:dyDescent="0.2"/>
    <row r="672" s="59" customFormat="1" x14ac:dyDescent="0.2"/>
    <row r="673" s="59" customFormat="1" x14ac:dyDescent="0.2"/>
    <row r="674" s="59" customFormat="1" x14ac:dyDescent="0.2"/>
    <row r="675" s="59" customFormat="1" x14ac:dyDescent="0.2"/>
    <row r="676" s="59" customFormat="1" x14ac:dyDescent="0.2"/>
    <row r="677" s="59" customFormat="1" x14ac:dyDescent="0.2"/>
    <row r="678" s="59" customFormat="1" x14ac:dyDescent="0.2"/>
    <row r="679" s="59" customFormat="1" x14ac:dyDescent="0.2"/>
    <row r="680" s="59" customFormat="1" x14ac:dyDescent="0.2"/>
    <row r="681" s="59" customFormat="1" x14ac:dyDescent="0.2"/>
    <row r="682" s="59" customFormat="1" x14ac:dyDescent="0.2"/>
    <row r="683" s="59" customFormat="1" x14ac:dyDescent="0.2"/>
    <row r="684" s="59" customFormat="1" x14ac:dyDescent="0.2"/>
    <row r="685" s="59" customFormat="1" x14ac:dyDescent="0.2"/>
    <row r="686" s="59" customFormat="1" x14ac:dyDescent="0.2"/>
    <row r="687" s="59" customFormat="1" x14ac:dyDescent="0.2"/>
    <row r="688" s="59" customFormat="1" x14ac:dyDescent="0.2"/>
    <row r="689" s="59" customFormat="1" x14ac:dyDescent="0.2"/>
    <row r="690" s="59" customFormat="1" x14ac:dyDescent="0.2"/>
    <row r="691" s="59" customFormat="1" x14ac:dyDescent="0.2"/>
    <row r="692" s="59" customFormat="1" x14ac:dyDescent="0.2"/>
    <row r="693" s="59" customFormat="1" x14ac:dyDescent="0.2"/>
    <row r="694" s="59" customFormat="1" x14ac:dyDescent="0.2"/>
    <row r="695" s="59" customFormat="1" x14ac:dyDescent="0.2"/>
    <row r="696" s="59" customFormat="1" x14ac:dyDescent="0.2"/>
    <row r="697" s="59" customFormat="1" x14ac:dyDescent="0.2"/>
    <row r="698" s="59" customFormat="1" x14ac:dyDescent="0.2"/>
    <row r="699" s="59" customFormat="1" x14ac:dyDescent="0.2"/>
    <row r="700" s="59" customFormat="1" x14ac:dyDescent="0.2"/>
    <row r="701" s="59" customFormat="1" x14ac:dyDescent="0.2"/>
    <row r="702" s="59" customFormat="1" x14ac:dyDescent="0.2"/>
    <row r="703" s="59" customFormat="1" x14ac:dyDescent="0.2"/>
    <row r="704" s="59" customFormat="1" x14ac:dyDescent="0.2"/>
    <row r="705" s="59" customFormat="1" x14ac:dyDescent="0.2"/>
    <row r="706" s="59" customFormat="1" x14ac:dyDescent="0.2"/>
    <row r="707" s="59" customFormat="1" x14ac:dyDescent="0.2"/>
    <row r="708" s="59" customFormat="1" x14ac:dyDescent="0.2"/>
    <row r="709" s="59" customFormat="1" x14ac:dyDescent="0.2"/>
    <row r="710" s="59" customFormat="1" x14ac:dyDescent="0.2"/>
    <row r="711" s="59" customFormat="1" x14ac:dyDescent="0.2"/>
    <row r="712" s="59" customFormat="1" x14ac:dyDescent="0.2"/>
    <row r="713" s="59" customFormat="1" x14ac:dyDescent="0.2"/>
    <row r="714" s="59" customFormat="1" x14ac:dyDescent="0.2"/>
    <row r="715" s="59" customFormat="1" x14ac:dyDescent="0.2"/>
    <row r="716" s="59" customFormat="1" x14ac:dyDescent="0.2"/>
    <row r="717" s="59" customFormat="1" x14ac:dyDescent="0.2"/>
    <row r="718" s="59" customFormat="1" x14ac:dyDescent="0.2"/>
    <row r="719" s="59" customFormat="1" x14ac:dyDescent="0.2"/>
    <row r="720" s="59" customFormat="1" x14ac:dyDescent="0.2"/>
    <row r="721" s="59" customFormat="1" x14ac:dyDescent="0.2"/>
    <row r="722" s="59" customFormat="1" x14ac:dyDescent="0.2"/>
    <row r="723" s="59" customFormat="1" x14ac:dyDescent="0.2"/>
    <row r="724" s="59" customFormat="1" x14ac:dyDescent="0.2"/>
    <row r="725" s="59" customFormat="1" x14ac:dyDescent="0.2"/>
    <row r="726" s="59" customFormat="1" x14ac:dyDescent="0.2"/>
    <row r="727" s="59" customFormat="1" x14ac:dyDescent="0.2"/>
    <row r="728" s="59" customFormat="1" x14ac:dyDescent="0.2"/>
    <row r="729" s="59" customFormat="1" x14ac:dyDescent="0.2"/>
    <row r="730" s="59" customFormat="1" x14ac:dyDescent="0.2"/>
    <row r="731" s="59" customFormat="1" x14ac:dyDescent="0.2"/>
    <row r="732" s="59" customFormat="1" x14ac:dyDescent="0.2"/>
    <row r="733" s="59" customFormat="1" x14ac:dyDescent="0.2"/>
    <row r="734" s="59" customFormat="1" x14ac:dyDescent="0.2"/>
    <row r="735" s="59" customFormat="1" x14ac:dyDescent="0.2"/>
    <row r="736" s="59" customFormat="1" x14ac:dyDescent="0.2"/>
    <row r="737" s="59" customFormat="1" x14ac:dyDescent="0.2"/>
    <row r="738" s="59" customFormat="1" x14ac:dyDescent="0.2"/>
    <row r="739" s="59" customFormat="1" x14ac:dyDescent="0.2"/>
    <row r="740" s="59" customFormat="1" x14ac:dyDescent="0.2"/>
    <row r="741" s="59" customFormat="1" x14ac:dyDescent="0.2"/>
    <row r="742" s="59" customFormat="1" x14ac:dyDescent="0.2"/>
    <row r="743" s="59" customFormat="1" x14ac:dyDescent="0.2"/>
    <row r="744" s="59" customFormat="1" x14ac:dyDescent="0.2"/>
    <row r="745" s="59" customFormat="1" x14ac:dyDescent="0.2"/>
    <row r="746" s="59" customFormat="1" x14ac:dyDescent="0.2"/>
    <row r="747" s="59" customFormat="1" x14ac:dyDescent="0.2"/>
    <row r="748" s="59" customFormat="1" x14ac:dyDescent="0.2"/>
    <row r="749" s="59" customFormat="1" x14ac:dyDescent="0.2"/>
    <row r="750" s="59" customFormat="1" x14ac:dyDescent="0.2"/>
    <row r="751" s="59" customFormat="1" x14ac:dyDescent="0.2"/>
    <row r="752" s="59" customFormat="1" x14ac:dyDescent="0.2"/>
    <row r="753" s="59" customFormat="1" x14ac:dyDescent="0.2"/>
    <row r="754" s="59" customFormat="1" x14ac:dyDescent="0.2"/>
    <row r="755" s="59" customFormat="1" x14ac:dyDescent="0.2"/>
    <row r="756" s="59" customFormat="1" x14ac:dyDescent="0.2"/>
    <row r="757" s="59" customFormat="1" x14ac:dyDescent="0.2"/>
    <row r="758" s="59" customFormat="1" x14ac:dyDescent="0.2"/>
    <row r="759" s="59" customFormat="1" x14ac:dyDescent="0.2"/>
    <row r="760" s="59" customFormat="1" x14ac:dyDescent="0.2"/>
    <row r="761" s="59" customFormat="1" x14ac:dyDescent="0.2"/>
    <row r="762" s="59" customFormat="1" x14ac:dyDescent="0.2"/>
    <row r="763" s="59" customFormat="1" x14ac:dyDescent="0.2"/>
    <row r="764" s="59" customFormat="1" x14ac:dyDescent="0.2"/>
    <row r="765" s="59" customFormat="1" x14ac:dyDescent="0.2"/>
    <row r="766" s="59" customFormat="1" x14ac:dyDescent="0.2"/>
    <row r="767" s="59" customFormat="1" x14ac:dyDescent="0.2"/>
    <row r="768" s="59" customFormat="1" x14ac:dyDescent="0.2"/>
    <row r="769" s="59" customFormat="1" x14ac:dyDescent="0.2"/>
    <row r="770" s="59" customFormat="1" x14ac:dyDescent="0.2"/>
    <row r="771" s="59" customFormat="1" x14ac:dyDescent="0.2"/>
    <row r="772" s="59" customFormat="1" x14ac:dyDescent="0.2"/>
    <row r="773" s="59" customFormat="1" x14ac:dyDescent="0.2"/>
    <row r="774" s="59" customFormat="1" x14ac:dyDescent="0.2"/>
    <row r="775" s="59" customFormat="1" x14ac:dyDescent="0.2"/>
    <row r="776" s="59" customFormat="1" x14ac:dyDescent="0.2"/>
    <row r="777" s="59" customFormat="1" x14ac:dyDescent="0.2"/>
    <row r="778" s="59" customFormat="1" x14ac:dyDescent="0.2"/>
    <row r="779" s="59" customFormat="1" x14ac:dyDescent="0.2"/>
    <row r="780" s="59" customFormat="1" x14ac:dyDescent="0.2"/>
    <row r="781" s="59" customFormat="1" x14ac:dyDescent="0.2"/>
    <row r="782" s="59" customFormat="1" x14ac:dyDescent="0.2"/>
    <row r="783" s="59" customFormat="1" x14ac:dyDescent="0.2"/>
    <row r="784" s="59" customFormat="1" x14ac:dyDescent="0.2"/>
    <row r="785" s="59" customFormat="1" x14ac:dyDescent="0.2"/>
    <row r="786" s="59" customFormat="1" x14ac:dyDescent="0.2"/>
    <row r="787" s="59" customFormat="1" x14ac:dyDescent="0.2"/>
    <row r="788" s="59" customFormat="1" x14ac:dyDescent="0.2"/>
    <row r="789" s="59" customFormat="1" x14ac:dyDescent="0.2"/>
    <row r="790" s="59" customFormat="1" x14ac:dyDescent="0.2"/>
    <row r="791" s="59" customFormat="1" x14ac:dyDescent="0.2"/>
    <row r="792" s="59" customFormat="1" x14ac:dyDescent="0.2"/>
    <row r="793" s="59" customFormat="1" x14ac:dyDescent="0.2"/>
    <row r="794" s="59" customFormat="1" x14ac:dyDescent="0.2"/>
    <row r="795" s="59" customFormat="1" x14ac:dyDescent="0.2"/>
    <row r="796" s="59" customFormat="1" x14ac:dyDescent="0.2"/>
    <row r="797" s="59" customFormat="1" x14ac:dyDescent="0.2"/>
    <row r="798" s="59" customFormat="1" x14ac:dyDescent="0.2"/>
    <row r="799" s="59" customFormat="1" x14ac:dyDescent="0.2"/>
    <row r="800" s="59" customFormat="1" x14ac:dyDescent="0.2"/>
    <row r="801" s="59" customFormat="1" x14ac:dyDescent="0.2"/>
    <row r="802" s="59" customFormat="1" x14ac:dyDescent="0.2"/>
    <row r="803" s="59" customFormat="1" x14ac:dyDescent="0.2"/>
    <row r="804" s="59" customFormat="1" x14ac:dyDescent="0.2"/>
    <row r="805" s="59" customFormat="1" x14ac:dyDescent="0.2"/>
    <row r="806" s="59" customFormat="1" x14ac:dyDescent="0.2"/>
    <row r="807" s="59" customFormat="1" x14ac:dyDescent="0.2"/>
    <row r="808" s="59" customFormat="1" x14ac:dyDescent="0.2"/>
    <row r="809" s="59" customFormat="1" x14ac:dyDescent="0.2"/>
    <row r="810" s="59" customFormat="1" x14ac:dyDescent="0.2"/>
    <row r="811" s="59" customFormat="1" x14ac:dyDescent="0.2"/>
    <row r="812" s="59" customFormat="1" x14ac:dyDescent="0.2"/>
    <row r="813" s="59" customFormat="1" x14ac:dyDescent="0.2"/>
    <row r="814" s="59" customFormat="1" x14ac:dyDescent="0.2"/>
    <row r="815" s="59" customFormat="1" x14ac:dyDescent="0.2"/>
    <row r="816" s="59" customFormat="1" x14ac:dyDescent="0.2"/>
    <row r="817" s="59" customFormat="1" x14ac:dyDescent="0.2"/>
    <row r="818" s="59" customFormat="1" x14ac:dyDescent="0.2"/>
    <row r="819" s="59" customFormat="1" x14ac:dyDescent="0.2"/>
    <row r="820" s="59" customFormat="1" x14ac:dyDescent="0.2"/>
    <row r="821" s="59" customFormat="1" x14ac:dyDescent="0.2"/>
    <row r="822" s="59" customFormat="1" x14ac:dyDescent="0.2"/>
    <row r="823" s="59" customFormat="1" x14ac:dyDescent="0.2"/>
    <row r="824" s="59" customFormat="1" x14ac:dyDescent="0.2"/>
    <row r="825" s="59" customFormat="1" x14ac:dyDescent="0.2"/>
    <row r="826" s="59" customFormat="1" x14ac:dyDescent="0.2"/>
    <row r="827" s="59" customFormat="1" x14ac:dyDescent="0.2"/>
    <row r="828" s="59" customFormat="1" x14ac:dyDescent="0.2"/>
    <row r="829" s="59" customFormat="1" x14ac:dyDescent="0.2"/>
    <row r="830" s="59" customFormat="1" x14ac:dyDescent="0.2"/>
    <row r="831" s="59" customFormat="1" x14ac:dyDescent="0.2"/>
    <row r="832" s="59" customFormat="1" x14ac:dyDescent="0.2"/>
    <row r="833" s="59" customFormat="1" x14ac:dyDescent="0.2"/>
    <row r="834" s="59" customFormat="1" x14ac:dyDescent="0.2"/>
    <row r="835" s="59" customFormat="1" x14ac:dyDescent="0.2"/>
    <row r="836" s="59" customFormat="1" x14ac:dyDescent="0.2"/>
    <row r="837" s="59" customFormat="1" x14ac:dyDescent="0.2"/>
    <row r="838" s="59" customFormat="1" x14ac:dyDescent="0.2"/>
    <row r="839" s="59" customFormat="1" x14ac:dyDescent="0.2"/>
    <row r="840" s="59" customFormat="1" x14ac:dyDescent="0.2"/>
    <row r="841" s="59" customFormat="1" x14ac:dyDescent="0.2"/>
    <row r="842" s="59" customFormat="1" x14ac:dyDescent="0.2"/>
    <row r="843" s="59" customFormat="1" x14ac:dyDescent="0.2"/>
    <row r="844" s="59" customFormat="1" x14ac:dyDescent="0.2"/>
    <row r="845" s="59" customFormat="1" x14ac:dyDescent="0.2"/>
    <row r="846" s="59" customFormat="1" x14ac:dyDescent="0.2"/>
    <row r="847" s="59" customFormat="1" x14ac:dyDescent="0.2"/>
    <row r="848" s="59" customFormat="1" x14ac:dyDescent="0.2"/>
    <row r="849" s="59" customFormat="1" x14ac:dyDescent="0.2"/>
    <row r="850" s="59" customFormat="1" x14ac:dyDescent="0.2"/>
    <row r="851" s="59" customFormat="1" x14ac:dyDescent="0.2"/>
    <row r="852" s="59" customFormat="1" x14ac:dyDescent="0.2"/>
    <row r="853" s="59" customFormat="1" x14ac:dyDescent="0.2"/>
    <row r="854" s="59" customFormat="1" x14ac:dyDescent="0.2"/>
    <row r="855" s="59" customFormat="1" x14ac:dyDescent="0.2"/>
    <row r="856" s="59" customFormat="1" x14ac:dyDescent="0.2"/>
    <row r="857" s="59" customFormat="1" x14ac:dyDescent="0.2"/>
    <row r="858" s="59" customFormat="1" x14ac:dyDescent="0.2"/>
    <row r="859" s="59" customFormat="1" x14ac:dyDescent="0.2"/>
    <row r="860" s="59" customFormat="1" x14ac:dyDescent="0.2"/>
    <row r="861" s="59" customFormat="1" x14ac:dyDescent="0.2"/>
    <row r="862" s="59" customFormat="1" x14ac:dyDescent="0.2"/>
    <row r="863" s="59" customFormat="1" x14ac:dyDescent="0.2"/>
    <row r="864" s="59" customFormat="1" x14ac:dyDescent="0.2"/>
    <row r="865" s="59" customFormat="1" x14ac:dyDescent="0.2"/>
    <row r="866" s="59" customFormat="1" x14ac:dyDescent="0.2"/>
    <row r="867" s="59" customFormat="1" x14ac:dyDescent="0.2"/>
    <row r="868" s="59" customFormat="1" x14ac:dyDescent="0.2"/>
    <row r="869" s="59" customFormat="1" x14ac:dyDescent="0.2"/>
    <row r="870" s="59" customFormat="1" x14ac:dyDescent="0.2"/>
    <row r="871" s="59" customFormat="1" x14ac:dyDescent="0.2"/>
    <row r="872" s="59" customFormat="1" x14ac:dyDescent="0.2"/>
    <row r="873" s="59" customFormat="1" x14ac:dyDescent="0.2"/>
    <row r="874" s="59" customFormat="1" x14ac:dyDescent="0.2"/>
    <row r="875" s="59" customFormat="1" x14ac:dyDescent="0.2"/>
    <row r="876" s="59" customFormat="1" x14ac:dyDescent="0.2"/>
    <row r="877" s="59" customFormat="1" x14ac:dyDescent="0.2"/>
    <row r="878" s="59" customFormat="1" x14ac:dyDescent="0.2"/>
    <row r="879" s="59" customFormat="1" x14ac:dyDescent="0.2"/>
    <row r="880" s="59" customFormat="1" x14ac:dyDescent="0.2"/>
    <row r="881" s="59" customFormat="1" x14ac:dyDescent="0.2"/>
    <row r="882" s="59" customFormat="1" x14ac:dyDescent="0.2"/>
    <row r="883" s="59" customFormat="1" x14ac:dyDescent="0.2"/>
    <row r="884" s="59" customFormat="1" x14ac:dyDescent="0.2"/>
    <row r="885" s="59" customFormat="1" x14ac:dyDescent="0.2"/>
    <row r="886" s="59" customFormat="1" x14ac:dyDescent="0.2"/>
    <row r="887" s="59" customFormat="1" x14ac:dyDescent="0.2"/>
    <row r="888" s="59" customFormat="1" x14ac:dyDescent="0.2"/>
    <row r="889" s="59" customFormat="1" x14ac:dyDescent="0.2"/>
    <row r="890" s="59" customFormat="1" x14ac:dyDescent="0.2"/>
    <row r="891" s="59" customFormat="1" x14ac:dyDescent="0.2"/>
    <row r="892" s="59" customFormat="1" x14ac:dyDescent="0.2"/>
    <row r="893" s="59" customFormat="1" x14ac:dyDescent="0.2"/>
    <row r="894" s="59" customFormat="1" x14ac:dyDescent="0.2"/>
    <row r="895" s="59" customFormat="1" x14ac:dyDescent="0.2"/>
    <row r="896" s="59" customFormat="1" x14ac:dyDescent="0.2"/>
    <row r="897" s="59" customFormat="1" x14ac:dyDescent="0.2"/>
    <row r="898" s="59" customFormat="1" x14ac:dyDescent="0.2"/>
    <row r="899" s="59" customFormat="1" x14ac:dyDescent="0.2"/>
    <row r="900" s="59" customFormat="1" x14ac:dyDescent="0.2"/>
    <row r="901" s="59" customFormat="1" x14ac:dyDescent="0.2"/>
    <row r="902" s="59" customFormat="1" x14ac:dyDescent="0.2"/>
    <row r="903" s="59" customFormat="1" x14ac:dyDescent="0.2"/>
    <row r="904" s="59" customFormat="1" x14ac:dyDescent="0.2"/>
    <row r="905" s="59" customFormat="1" x14ac:dyDescent="0.2"/>
    <row r="906" s="59" customFormat="1" x14ac:dyDescent="0.2"/>
    <row r="907" s="59" customFormat="1" x14ac:dyDescent="0.2"/>
    <row r="908" s="59" customFormat="1" x14ac:dyDescent="0.2"/>
    <row r="909" s="59" customFormat="1" x14ac:dyDescent="0.2"/>
    <row r="910" s="59" customFormat="1" x14ac:dyDescent="0.2"/>
    <row r="911" s="59" customFormat="1" x14ac:dyDescent="0.2"/>
    <row r="912" s="59" customFormat="1" x14ac:dyDescent="0.2"/>
    <row r="913" s="59" customFormat="1" x14ac:dyDescent="0.2"/>
    <row r="914" s="59" customFormat="1" x14ac:dyDescent="0.2"/>
    <row r="915" s="59" customFormat="1" x14ac:dyDescent="0.2"/>
    <row r="916" s="59" customFormat="1" x14ac:dyDescent="0.2"/>
    <row r="917" s="59" customFormat="1" x14ac:dyDescent="0.2"/>
    <row r="918" s="59" customFormat="1" x14ac:dyDescent="0.2"/>
    <row r="919" s="59" customFormat="1" x14ac:dyDescent="0.2"/>
    <row r="920" s="59" customFormat="1" x14ac:dyDescent="0.2"/>
    <row r="921" s="59" customFormat="1" x14ac:dyDescent="0.2"/>
    <row r="922" s="59" customFormat="1" x14ac:dyDescent="0.2"/>
    <row r="923" s="59" customFormat="1" x14ac:dyDescent="0.2"/>
    <row r="924" s="59" customFormat="1" x14ac:dyDescent="0.2"/>
    <row r="925" s="59" customFormat="1" x14ac:dyDescent="0.2"/>
    <row r="926" s="59" customFormat="1" x14ac:dyDescent="0.2"/>
    <row r="927" s="59" customFormat="1" x14ac:dyDescent="0.2"/>
    <row r="928" s="59" customFormat="1" x14ac:dyDescent="0.2"/>
    <row r="929" s="59" customFormat="1" x14ac:dyDescent="0.2"/>
    <row r="930" s="59" customFormat="1" x14ac:dyDescent="0.2"/>
    <row r="931" s="59" customFormat="1" x14ac:dyDescent="0.2"/>
    <row r="932" s="59" customFormat="1" x14ac:dyDescent="0.2"/>
    <row r="933" s="59" customFormat="1" x14ac:dyDescent="0.2"/>
    <row r="934" s="59" customFormat="1" x14ac:dyDescent="0.2"/>
    <row r="935" s="59" customFormat="1" x14ac:dyDescent="0.2"/>
    <row r="936" s="59" customFormat="1" x14ac:dyDescent="0.2"/>
    <row r="937" s="59" customFormat="1" x14ac:dyDescent="0.2"/>
    <row r="938" s="59" customFormat="1" x14ac:dyDescent="0.2"/>
    <row r="939" s="59" customFormat="1" x14ac:dyDescent="0.2"/>
    <row r="940" s="59" customFormat="1" x14ac:dyDescent="0.2"/>
    <row r="941" s="59" customFormat="1" x14ac:dyDescent="0.2"/>
    <row r="942" s="59" customFormat="1" x14ac:dyDescent="0.2"/>
    <row r="943" s="59" customFormat="1" x14ac:dyDescent="0.2"/>
    <row r="944" s="59" customFormat="1" x14ac:dyDescent="0.2"/>
    <row r="945" s="59" customFormat="1" x14ac:dyDescent="0.2"/>
    <row r="946" s="59" customFormat="1" x14ac:dyDescent="0.2"/>
    <row r="947" s="59" customFormat="1" x14ac:dyDescent="0.2"/>
    <row r="948" s="59" customFormat="1" x14ac:dyDescent="0.2"/>
    <row r="949" s="59" customFormat="1" x14ac:dyDescent="0.2"/>
    <row r="950" s="59" customFormat="1" x14ac:dyDescent="0.2"/>
    <row r="951" s="59" customFormat="1" x14ac:dyDescent="0.2"/>
    <row r="952" s="59" customFormat="1" x14ac:dyDescent="0.2"/>
    <row r="953" s="59" customFormat="1" x14ac:dyDescent="0.2"/>
    <row r="954" s="59" customFormat="1" x14ac:dyDescent="0.2"/>
    <row r="955" s="59" customFormat="1" x14ac:dyDescent="0.2"/>
    <row r="956" s="59" customFormat="1" x14ac:dyDescent="0.2"/>
    <row r="957" s="59" customFormat="1" x14ac:dyDescent="0.2"/>
    <row r="958" s="59" customFormat="1" x14ac:dyDescent="0.2"/>
    <row r="959" s="59" customFormat="1" x14ac:dyDescent="0.2"/>
    <row r="960" s="59" customFormat="1" x14ac:dyDescent="0.2"/>
    <row r="961" s="59" customFormat="1" x14ac:dyDescent="0.2"/>
    <row r="962" s="59" customFormat="1" x14ac:dyDescent="0.2"/>
    <row r="963" s="59" customFormat="1" x14ac:dyDescent="0.2"/>
    <row r="964" s="59" customFormat="1" x14ac:dyDescent="0.2"/>
    <row r="965" s="59" customFormat="1" x14ac:dyDescent="0.2"/>
    <row r="966" s="59" customFormat="1" x14ac:dyDescent="0.2"/>
    <row r="967" s="59" customFormat="1" x14ac:dyDescent="0.2"/>
    <row r="968" s="59" customFormat="1" x14ac:dyDescent="0.2"/>
    <row r="969" s="59" customFormat="1" x14ac:dyDescent="0.2"/>
    <row r="970" s="59" customFormat="1" x14ac:dyDescent="0.2"/>
    <row r="971" s="59" customFormat="1" x14ac:dyDescent="0.2"/>
    <row r="972" s="59" customFormat="1" x14ac:dyDescent="0.2"/>
    <row r="973" s="59" customFormat="1" x14ac:dyDescent="0.2"/>
    <row r="974" s="59" customFormat="1" x14ac:dyDescent="0.2"/>
    <row r="975" s="59" customFormat="1" x14ac:dyDescent="0.2"/>
    <row r="976" s="59" customFormat="1" x14ac:dyDescent="0.2"/>
    <row r="977" s="59" customFormat="1" x14ac:dyDescent="0.2"/>
    <row r="978" s="59" customFormat="1" x14ac:dyDescent="0.2"/>
    <row r="979" s="59" customFormat="1" x14ac:dyDescent="0.2"/>
    <row r="980" s="59" customFormat="1" x14ac:dyDescent="0.2"/>
    <row r="981" s="59" customFormat="1" x14ac:dyDescent="0.2"/>
    <row r="982" s="59" customFormat="1" x14ac:dyDescent="0.2"/>
    <row r="983" s="59" customFormat="1" x14ac:dyDescent="0.2"/>
    <row r="984" s="59" customFormat="1" x14ac:dyDescent="0.2"/>
    <row r="985" s="59" customFormat="1" x14ac:dyDescent="0.2"/>
    <row r="986" s="59" customFormat="1" x14ac:dyDescent="0.2"/>
    <row r="987" s="59" customFormat="1" x14ac:dyDescent="0.2"/>
    <row r="988" s="59" customFormat="1" x14ac:dyDescent="0.2"/>
    <row r="989" s="59" customFormat="1" x14ac:dyDescent="0.2"/>
    <row r="990" s="59" customFormat="1" x14ac:dyDescent="0.2"/>
    <row r="991" s="59" customFormat="1" x14ac:dyDescent="0.2"/>
    <row r="992" s="59" customFormat="1" x14ac:dyDescent="0.2"/>
    <row r="993" s="59" customFormat="1" x14ac:dyDescent="0.2"/>
    <row r="994" s="59" customFormat="1" x14ac:dyDescent="0.2"/>
    <row r="995" s="59" customFormat="1" x14ac:dyDescent="0.2"/>
    <row r="996" s="59" customFormat="1" x14ac:dyDescent="0.2"/>
    <row r="997" s="59" customFormat="1" x14ac:dyDescent="0.2"/>
    <row r="998" s="59" customFormat="1" x14ac:dyDescent="0.2"/>
    <row r="999" s="59" customFormat="1" x14ac:dyDescent="0.2"/>
    <row r="1000" s="59" customFormat="1" x14ac:dyDescent="0.2"/>
    <row r="1001" s="59" customFormat="1" x14ac:dyDescent="0.2"/>
    <row r="1002" s="59" customFormat="1" x14ac:dyDescent="0.2"/>
    <row r="1003" s="59" customFormat="1" x14ac:dyDescent="0.2"/>
    <row r="1004" s="59" customFormat="1" x14ac:dyDescent="0.2"/>
    <row r="1005" s="59" customFormat="1" x14ac:dyDescent="0.2"/>
    <row r="1006" s="59" customFormat="1" x14ac:dyDescent="0.2"/>
    <row r="1007" s="59" customFormat="1" x14ac:dyDescent="0.2"/>
    <row r="1008" s="59" customFormat="1" x14ac:dyDescent="0.2"/>
    <row r="1009" s="59" customFormat="1" x14ac:dyDescent="0.2"/>
    <row r="1010" s="59" customFormat="1" x14ac:dyDescent="0.2"/>
    <row r="1011" s="59" customFormat="1" x14ac:dyDescent="0.2"/>
    <row r="1012" s="59" customFormat="1" x14ac:dyDescent="0.2"/>
    <row r="1013" s="59" customFormat="1" x14ac:dyDescent="0.2"/>
    <row r="1014" s="59" customFormat="1" x14ac:dyDescent="0.2"/>
    <row r="1015" s="59" customFormat="1" x14ac:dyDescent="0.2"/>
    <row r="1016" s="59" customFormat="1" x14ac:dyDescent="0.2"/>
    <row r="1017" s="59" customFormat="1" x14ac:dyDescent="0.2"/>
    <row r="1018" s="59" customFormat="1" x14ac:dyDescent="0.2"/>
    <row r="1019" s="59" customFormat="1" x14ac:dyDescent="0.2"/>
    <row r="1020" s="59" customFormat="1" x14ac:dyDescent="0.2"/>
    <row r="1021" s="59" customFormat="1" x14ac:dyDescent="0.2"/>
    <row r="1022" s="59" customFormat="1" x14ac:dyDescent="0.2"/>
    <row r="1023" s="59" customFormat="1" x14ac:dyDescent="0.2"/>
    <row r="1024" s="59" customFormat="1" x14ac:dyDescent="0.2"/>
    <row r="1025" s="59" customFormat="1" x14ac:dyDescent="0.2"/>
    <row r="1026" s="59" customFormat="1" x14ac:dyDescent="0.2"/>
    <row r="1027" s="59" customFormat="1" x14ac:dyDescent="0.2"/>
    <row r="1028" s="59" customFormat="1" x14ac:dyDescent="0.2"/>
    <row r="1029" s="59" customFormat="1" x14ac:dyDescent="0.2"/>
    <row r="1030" s="59" customFormat="1" x14ac:dyDescent="0.2"/>
    <row r="1031" s="59" customFormat="1" x14ac:dyDescent="0.2"/>
    <row r="1032" s="59" customFormat="1" x14ac:dyDescent="0.2"/>
    <row r="1033" s="59" customFormat="1" x14ac:dyDescent="0.2"/>
    <row r="1034" s="59" customFormat="1" x14ac:dyDescent="0.2"/>
    <row r="1035" s="59" customFormat="1" x14ac:dyDescent="0.2"/>
    <row r="1036" s="59" customFormat="1" x14ac:dyDescent="0.2"/>
    <row r="1037" s="59" customFormat="1" x14ac:dyDescent="0.2"/>
    <row r="1038" s="59" customFormat="1" x14ac:dyDescent="0.2"/>
    <row r="1039" s="59" customFormat="1" x14ac:dyDescent="0.2"/>
    <row r="1040" s="59" customFormat="1" x14ac:dyDescent="0.2"/>
    <row r="1041" s="59" customFormat="1" x14ac:dyDescent="0.2"/>
    <row r="1042" s="59" customFormat="1" x14ac:dyDescent="0.2"/>
    <row r="1043" s="59" customFormat="1" x14ac:dyDescent="0.2"/>
    <row r="1044" s="59" customFormat="1" x14ac:dyDescent="0.2"/>
    <row r="1045" s="59" customFormat="1" x14ac:dyDescent="0.2"/>
    <row r="1046" s="59" customFormat="1" x14ac:dyDescent="0.2"/>
    <row r="1047" s="59" customFormat="1" x14ac:dyDescent="0.2"/>
    <row r="1048" s="59" customFormat="1" x14ac:dyDescent="0.2"/>
    <row r="1049" s="59" customFormat="1" x14ac:dyDescent="0.2"/>
    <row r="1050" s="59" customFormat="1" x14ac:dyDescent="0.2"/>
    <row r="1051" s="59" customFormat="1" x14ac:dyDescent="0.2"/>
    <row r="1052" s="59" customFormat="1" x14ac:dyDescent="0.2"/>
    <row r="1053" s="59" customFormat="1" x14ac:dyDescent="0.2"/>
    <row r="1054" s="59" customFormat="1" x14ac:dyDescent="0.2"/>
    <row r="1055" s="59" customFormat="1" x14ac:dyDescent="0.2"/>
    <row r="1056" s="59" customFormat="1" x14ac:dyDescent="0.2"/>
    <row r="1057" s="59" customFormat="1" x14ac:dyDescent="0.2"/>
    <row r="1058" s="59" customFormat="1" x14ac:dyDescent="0.2"/>
    <row r="1059" s="59" customFormat="1" x14ac:dyDescent="0.2"/>
    <row r="1060" s="59" customFormat="1" x14ac:dyDescent="0.2"/>
    <row r="1061" s="59" customFormat="1" x14ac:dyDescent="0.2"/>
    <row r="1062" s="59" customFormat="1" x14ac:dyDescent="0.2"/>
    <row r="1063" s="59" customFormat="1" x14ac:dyDescent="0.2"/>
    <row r="1064" s="59" customFormat="1" x14ac:dyDescent="0.2"/>
    <row r="1065" s="59" customFormat="1" x14ac:dyDescent="0.2"/>
    <row r="1066" s="59" customFormat="1" x14ac:dyDescent="0.2"/>
    <row r="1067" s="59" customFormat="1" x14ac:dyDescent="0.2"/>
    <row r="1068" s="59" customFormat="1" x14ac:dyDescent="0.2"/>
    <row r="1069" s="59" customFormat="1" x14ac:dyDescent="0.2"/>
    <row r="1070" s="59" customFormat="1" x14ac:dyDescent="0.2"/>
    <row r="1071" s="59" customFormat="1" x14ac:dyDescent="0.2"/>
    <row r="1072" s="59" customFormat="1" x14ac:dyDescent="0.2"/>
    <row r="1073" s="59" customFormat="1" x14ac:dyDescent="0.2"/>
    <row r="1074" s="59" customFormat="1" x14ac:dyDescent="0.2"/>
    <row r="1075" s="59" customFormat="1" x14ac:dyDescent="0.2"/>
    <row r="1076" s="59" customFormat="1" x14ac:dyDescent="0.2"/>
    <row r="1077" s="59" customFormat="1" x14ac:dyDescent="0.2"/>
    <row r="1078" s="59" customFormat="1" x14ac:dyDescent="0.2"/>
    <row r="1079" s="59" customFormat="1" x14ac:dyDescent="0.2"/>
    <row r="1080" s="59" customFormat="1" x14ac:dyDescent="0.2"/>
    <row r="1081" s="59" customFormat="1" x14ac:dyDescent="0.2"/>
    <row r="1082" s="59" customFormat="1" x14ac:dyDescent="0.2"/>
    <row r="1083" s="59" customFormat="1" x14ac:dyDescent="0.2"/>
    <row r="1084" s="59" customFormat="1" x14ac:dyDescent="0.2"/>
    <row r="1085" s="59" customFormat="1" x14ac:dyDescent="0.2"/>
    <row r="1086" s="59" customFormat="1" x14ac:dyDescent="0.2"/>
    <row r="1087" s="59" customFormat="1" x14ac:dyDescent="0.2"/>
    <row r="1088" s="59" customFormat="1" x14ac:dyDescent="0.2"/>
    <row r="1089" s="59" customFormat="1" x14ac:dyDescent="0.2"/>
    <row r="1090" s="59" customFormat="1" x14ac:dyDescent="0.2"/>
    <row r="1091" s="59" customFormat="1" x14ac:dyDescent="0.2"/>
    <row r="1092" s="59" customFormat="1" x14ac:dyDescent="0.2"/>
    <row r="1093" s="59" customFormat="1" x14ac:dyDescent="0.2"/>
    <row r="1094" s="59" customFormat="1" x14ac:dyDescent="0.2"/>
    <row r="1095" s="59" customFormat="1" x14ac:dyDescent="0.2"/>
    <row r="1096" s="59" customFormat="1" x14ac:dyDescent="0.2"/>
    <row r="1097" s="59" customFormat="1" x14ac:dyDescent="0.2"/>
    <row r="1098" s="59" customFormat="1" x14ac:dyDescent="0.2"/>
    <row r="1099" s="59" customFormat="1" x14ac:dyDescent="0.2"/>
    <row r="1100" s="59" customFormat="1" x14ac:dyDescent="0.2"/>
    <row r="1101" s="59" customFormat="1" x14ac:dyDescent="0.2"/>
    <row r="1102" s="59" customFormat="1" x14ac:dyDescent="0.2"/>
    <row r="1103" s="59" customFormat="1" x14ac:dyDescent="0.2"/>
    <row r="1104" s="59" customFormat="1" x14ac:dyDescent="0.2"/>
    <row r="1105" s="59" customFormat="1" x14ac:dyDescent="0.2"/>
    <row r="1106" s="59" customFormat="1" x14ac:dyDescent="0.2"/>
    <row r="1107" s="59" customFormat="1" x14ac:dyDescent="0.2"/>
    <row r="1108" s="59" customFormat="1" x14ac:dyDescent="0.2"/>
    <row r="1109" s="59" customFormat="1" x14ac:dyDescent="0.2"/>
    <row r="1110" s="59" customFormat="1" x14ac:dyDescent="0.2"/>
    <row r="1111" s="59" customFormat="1" x14ac:dyDescent="0.2"/>
    <row r="1112" s="59" customFormat="1" x14ac:dyDescent="0.2"/>
    <row r="1113" s="59" customFormat="1" x14ac:dyDescent="0.2"/>
    <row r="1114" s="59" customFormat="1" x14ac:dyDescent="0.2"/>
    <row r="1115" s="59" customFormat="1" x14ac:dyDescent="0.2"/>
    <row r="1116" s="59" customFormat="1" x14ac:dyDescent="0.2"/>
    <row r="1117" s="59" customFormat="1" x14ac:dyDescent="0.2"/>
    <row r="1118" s="59" customFormat="1" x14ac:dyDescent="0.2"/>
    <row r="1119" s="59" customFormat="1" x14ac:dyDescent="0.2"/>
    <row r="1120" s="59" customFormat="1" x14ac:dyDescent="0.2"/>
    <row r="1121" s="59" customFormat="1" x14ac:dyDescent="0.2"/>
    <row r="1122" s="59" customFormat="1" x14ac:dyDescent="0.2"/>
    <row r="1123" s="59" customFormat="1" x14ac:dyDescent="0.2"/>
    <row r="1124" s="59" customFormat="1" x14ac:dyDescent="0.2"/>
    <row r="1125" s="59" customFormat="1" x14ac:dyDescent="0.2"/>
    <row r="1126" s="59" customFormat="1" x14ac:dyDescent="0.2"/>
    <row r="1127" s="59" customFormat="1" x14ac:dyDescent="0.2"/>
    <row r="1128" s="59" customFormat="1" x14ac:dyDescent="0.2"/>
    <row r="1129" s="59" customFormat="1" x14ac:dyDescent="0.2"/>
    <row r="1130" s="59" customFormat="1" x14ac:dyDescent="0.2"/>
    <row r="1131" s="59" customFormat="1" x14ac:dyDescent="0.2"/>
    <row r="1132" s="59" customFormat="1" x14ac:dyDescent="0.2"/>
    <row r="1133" s="59" customFormat="1" x14ac:dyDescent="0.2"/>
    <row r="1134" s="59" customFormat="1" x14ac:dyDescent="0.2"/>
    <row r="1135" s="59" customFormat="1" x14ac:dyDescent="0.2"/>
    <row r="1136" s="59" customFormat="1" x14ac:dyDescent="0.2"/>
    <row r="1137" s="59" customFormat="1" x14ac:dyDescent="0.2"/>
    <row r="1138" s="59" customFormat="1" x14ac:dyDescent="0.2"/>
    <row r="1139" s="59" customFormat="1" x14ac:dyDescent="0.2"/>
    <row r="1140" s="59" customFormat="1" x14ac:dyDescent="0.2"/>
    <row r="1141" s="59" customFormat="1" x14ac:dyDescent="0.2"/>
    <row r="1142" s="59" customFormat="1" x14ac:dyDescent="0.2"/>
    <row r="1143" s="59" customFormat="1" x14ac:dyDescent="0.2"/>
    <row r="1144" s="59" customFormat="1" x14ac:dyDescent="0.2"/>
    <row r="1145" s="59" customFormat="1" x14ac:dyDescent="0.2"/>
    <row r="1146" s="59" customFormat="1" x14ac:dyDescent="0.2"/>
    <row r="1147" s="59" customFormat="1" x14ac:dyDescent="0.2"/>
    <row r="1148" s="59" customFormat="1" x14ac:dyDescent="0.2"/>
    <row r="1149" s="59" customFormat="1" x14ac:dyDescent="0.2"/>
    <row r="1150" s="59" customFormat="1" x14ac:dyDescent="0.2"/>
    <row r="1151" s="59" customFormat="1" x14ac:dyDescent="0.2"/>
    <row r="1152" s="59" customFormat="1" x14ac:dyDescent="0.2"/>
    <row r="1153" s="59" customFormat="1" x14ac:dyDescent="0.2"/>
    <row r="1154" s="59" customFormat="1" x14ac:dyDescent="0.2"/>
    <row r="1155" s="59" customFormat="1" x14ac:dyDescent="0.2"/>
    <row r="1156" s="59" customFormat="1" x14ac:dyDescent="0.2"/>
    <row r="1157" s="59" customFormat="1" x14ac:dyDescent="0.2"/>
    <row r="1158" s="59" customFormat="1" x14ac:dyDescent="0.2"/>
    <row r="1159" s="59" customFormat="1" x14ac:dyDescent="0.2"/>
    <row r="1160" s="59" customFormat="1" x14ac:dyDescent="0.2"/>
    <row r="1161" s="59" customFormat="1" x14ac:dyDescent="0.2"/>
    <row r="1162" s="59" customFormat="1" x14ac:dyDescent="0.2"/>
    <row r="1163" s="59" customFormat="1" x14ac:dyDescent="0.2"/>
    <row r="1164" s="59" customFormat="1" x14ac:dyDescent="0.2"/>
    <row r="1165" s="59" customFormat="1" x14ac:dyDescent="0.2"/>
    <row r="1166" s="59" customFormat="1" x14ac:dyDescent="0.2"/>
    <row r="1167" s="59" customFormat="1" x14ac:dyDescent="0.2"/>
    <row r="1168" s="59" customFormat="1" x14ac:dyDescent="0.2"/>
    <row r="1169" s="59" customFormat="1" x14ac:dyDescent="0.2"/>
    <row r="1170" s="59" customFormat="1" x14ac:dyDescent="0.2"/>
    <row r="1171" s="59" customFormat="1" x14ac:dyDescent="0.2"/>
    <row r="1172" s="59" customFormat="1" x14ac:dyDescent="0.2"/>
    <row r="1173" s="59" customFormat="1" x14ac:dyDescent="0.2"/>
    <row r="1174" s="59" customFormat="1" x14ac:dyDescent="0.2"/>
    <row r="1175" s="59" customFormat="1" x14ac:dyDescent="0.2"/>
    <row r="1176" s="59" customFormat="1" x14ac:dyDescent="0.2"/>
    <row r="1177" s="59" customFormat="1" x14ac:dyDescent="0.2"/>
    <row r="1178" s="59" customFormat="1" x14ac:dyDescent="0.2"/>
    <row r="1179" s="59" customFormat="1" x14ac:dyDescent="0.2"/>
    <row r="1180" s="59" customFormat="1" x14ac:dyDescent="0.2"/>
    <row r="1181" s="59" customFormat="1" x14ac:dyDescent="0.2"/>
    <row r="1182" s="59" customFormat="1" x14ac:dyDescent="0.2"/>
    <row r="1183" s="59" customFormat="1" x14ac:dyDescent="0.2"/>
    <row r="1184" s="59" customFormat="1" x14ac:dyDescent="0.2"/>
    <row r="1185" s="59" customFormat="1" x14ac:dyDescent="0.2"/>
    <row r="1186" s="59" customFormat="1" x14ac:dyDescent="0.2"/>
    <row r="1187" s="59" customFormat="1" x14ac:dyDescent="0.2"/>
    <row r="1188" s="59" customFormat="1" x14ac:dyDescent="0.2"/>
    <row r="1189" s="59" customFormat="1" x14ac:dyDescent="0.2"/>
    <row r="1190" s="59" customFormat="1" x14ac:dyDescent="0.2"/>
    <row r="1191" s="59" customFormat="1" x14ac:dyDescent="0.2"/>
    <row r="1192" s="59" customFormat="1" x14ac:dyDescent="0.2"/>
    <row r="1193" s="59" customFormat="1" x14ac:dyDescent="0.2"/>
    <row r="1194" s="59" customFormat="1" x14ac:dyDescent="0.2"/>
    <row r="1195" s="59" customFormat="1" x14ac:dyDescent="0.2"/>
    <row r="1196" s="59" customFormat="1" x14ac:dyDescent="0.2"/>
    <row r="1197" s="59" customFormat="1" x14ac:dyDescent="0.2"/>
    <row r="1198" s="59" customFormat="1" x14ac:dyDescent="0.2"/>
    <row r="1199" s="59" customFormat="1" x14ac:dyDescent="0.2"/>
    <row r="1200" s="59" customFormat="1" x14ac:dyDescent="0.2"/>
    <row r="1201" s="59" customFormat="1" x14ac:dyDescent="0.2"/>
    <row r="1202" s="59" customFormat="1" x14ac:dyDescent="0.2"/>
    <row r="1203" s="59" customFormat="1" x14ac:dyDescent="0.2"/>
    <row r="1204" s="59" customFormat="1" x14ac:dyDescent="0.2"/>
    <row r="1205" s="59" customFormat="1" x14ac:dyDescent="0.2"/>
    <row r="1206" s="59" customFormat="1" x14ac:dyDescent="0.2"/>
    <row r="1207" s="59" customFormat="1" x14ac:dyDescent="0.2"/>
    <row r="1208" s="59" customFormat="1" x14ac:dyDescent="0.2"/>
    <row r="1209" s="59" customFormat="1" x14ac:dyDescent="0.2"/>
    <row r="1210" s="59" customFormat="1" x14ac:dyDescent="0.2"/>
    <row r="1211" s="59" customFormat="1" x14ac:dyDescent="0.2"/>
    <row r="1212" s="59" customFormat="1" x14ac:dyDescent="0.2"/>
    <row r="1213" s="59" customFormat="1" x14ac:dyDescent="0.2"/>
    <row r="1214" s="59" customFormat="1" x14ac:dyDescent="0.2"/>
    <row r="1215" s="59" customFormat="1" x14ac:dyDescent="0.2"/>
    <row r="1216" s="59" customFormat="1" x14ac:dyDescent="0.2"/>
    <row r="1217" s="59" customFormat="1" x14ac:dyDescent="0.2"/>
    <row r="1218" s="59" customFormat="1" x14ac:dyDescent="0.2"/>
    <row r="1219" s="59" customFormat="1" x14ac:dyDescent="0.2"/>
    <row r="1220" s="59" customFormat="1" x14ac:dyDescent="0.2"/>
    <row r="1221" s="59" customFormat="1" x14ac:dyDescent="0.2"/>
    <row r="1222" s="59" customFormat="1" x14ac:dyDescent="0.2"/>
    <row r="1223" s="59" customFormat="1" x14ac:dyDescent="0.2"/>
    <row r="1224" s="59" customFormat="1" x14ac:dyDescent="0.2"/>
    <row r="1225" s="59" customFormat="1" x14ac:dyDescent="0.2"/>
    <row r="1226" s="59" customFormat="1" x14ac:dyDescent="0.2"/>
    <row r="1227" s="59" customFormat="1" x14ac:dyDescent="0.2"/>
    <row r="1228" s="59" customFormat="1" x14ac:dyDescent="0.2"/>
    <row r="1229" s="59" customFormat="1" x14ac:dyDescent="0.2"/>
    <row r="1230" s="59" customFormat="1" x14ac:dyDescent="0.2"/>
    <row r="1231" s="59" customFormat="1" x14ac:dyDescent="0.2"/>
    <row r="1232" s="59" customFormat="1" x14ac:dyDescent="0.2"/>
    <row r="1233" s="59" customFormat="1" x14ac:dyDescent="0.2"/>
    <row r="1234" s="59" customFormat="1" x14ac:dyDescent="0.2"/>
    <row r="1235" s="59" customFormat="1" x14ac:dyDescent="0.2"/>
    <row r="1236" s="59" customFormat="1" x14ac:dyDescent="0.2"/>
    <row r="1237" s="59" customFormat="1" x14ac:dyDescent="0.2"/>
    <row r="1238" s="59" customFormat="1" x14ac:dyDescent="0.2"/>
    <row r="1239" s="59" customFormat="1" x14ac:dyDescent="0.2"/>
    <row r="1240" s="59" customFormat="1" x14ac:dyDescent="0.2"/>
    <row r="1241" s="59" customFormat="1" x14ac:dyDescent="0.2"/>
    <row r="1242" s="59" customFormat="1" x14ac:dyDescent="0.2"/>
    <row r="1243" s="59" customFormat="1" x14ac:dyDescent="0.2"/>
    <row r="1244" s="59" customFormat="1" x14ac:dyDescent="0.2"/>
    <row r="1245" s="59" customFormat="1" x14ac:dyDescent="0.2"/>
    <row r="1246" s="59" customFormat="1" x14ac:dyDescent="0.2"/>
    <row r="1247" s="59" customFormat="1" x14ac:dyDescent="0.2"/>
    <row r="1248" s="59" customFormat="1" x14ac:dyDescent="0.2"/>
    <row r="1249" s="59" customFormat="1" x14ac:dyDescent="0.2"/>
    <row r="1250" s="59" customFormat="1" x14ac:dyDescent="0.2"/>
    <row r="1251" s="59" customFormat="1" x14ac:dyDescent="0.2"/>
    <row r="1252" s="59" customFormat="1" x14ac:dyDescent="0.2"/>
    <row r="1253" s="59" customFormat="1" x14ac:dyDescent="0.2"/>
    <row r="1254" s="59" customFormat="1" x14ac:dyDescent="0.2"/>
    <row r="1255" s="59" customFormat="1" x14ac:dyDescent="0.2"/>
    <row r="1256" s="59" customFormat="1" x14ac:dyDescent="0.2"/>
    <row r="1257" s="59" customFormat="1" x14ac:dyDescent="0.2"/>
    <row r="1258" s="59" customFormat="1" x14ac:dyDescent="0.2"/>
    <row r="1259" s="59" customFormat="1" x14ac:dyDescent="0.2"/>
    <row r="1260" s="59" customFormat="1" x14ac:dyDescent="0.2"/>
    <row r="1261" s="59" customFormat="1" x14ac:dyDescent="0.2"/>
    <row r="1262" s="59" customFormat="1" x14ac:dyDescent="0.2"/>
    <row r="1263" s="59" customFormat="1" x14ac:dyDescent="0.2"/>
    <row r="1264" s="59" customFormat="1" x14ac:dyDescent="0.2"/>
    <row r="1265" s="59" customFormat="1" x14ac:dyDescent="0.2"/>
    <row r="1266" s="59" customFormat="1" x14ac:dyDescent="0.2"/>
    <row r="1267" s="59" customFormat="1" x14ac:dyDescent="0.2"/>
    <row r="1268" s="59" customFormat="1" x14ac:dyDescent="0.2"/>
    <row r="1269" s="59" customFormat="1" x14ac:dyDescent="0.2"/>
    <row r="1270" s="59" customFormat="1" x14ac:dyDescent="0.2"/>
    <row r="1271" s="59" customFormat="1" x14ac:dyDescent="0.2"/>
    <row r="1272" s="59" customFormat="1" x14ac:dyDescent="0.2"/>
    <row r="1273" s="59" customFormat="1" x14ac:dyDescent="0.2"/>
    <row r="1274" s="59" customFormat="1" x14ac:dyDescent="0.2"/>
    <row r="1275" s="59" customFormat="1" x14ac:dyDescent="0.2"/>
    <row r="1276" s="59" customFormat="1" x14ac:dyDescent="0.2"/>
    <row r="1277" s="59" customFormat="1" x14ac:dyDescent="0.2"/>
    <row r="1278" s="59" customFormat="1" x14ac:dyDescent="0.2"/>
    <row r="1279" s="59" customFormat="1" x14ac:dyDescent="0.2"/>
    <row r="1280" s="59" customFormat="1" x14ac:dyDescent="0.2"/>
    <row r="1281" s="59" customFormat="1" x14ac:dyDescent="0.2"/>
    <row r="1282" s="59" customFormat="1" x14ac:dyDescent="0.2"/>
    <row r="1283" s="59" customFormat="1" x14ac:dyDescent="0.2"/>
    <row r="1284" s="59" customFormat="1" x14ac:dyDescent="0.2"/>
    <row r="1285" s="59" customFormat="1" x14ac:dyDescent="0.2"/>
    <row r="1286" s="59" customFormat="1" x14ac:dyDescent="0.2"/>
    <row r="1287" s="59" customFormat="1" x14ac:dyDescent="0.2"/>
    <row r="1288" s="59" customFormat="1" x14ac:dyDescent="0.2"/>
    <row r="1289" s="59" customFormat="1" x14ac:dyDescent="0.2"/>
    <row r="1290" s="59" customFormat="1" x14ac:dyDescent="0.2"/>
    <row r="1291" s="59" customFormat="1" x14ac:dyDescent="0.2"/>
    <row r="1292" s="59" customFormat="1" x14ac:dyDescent="0.2"/>
    <row r="1293" s="59" customFormat="1" x14ac:dyDescent="0.2"/>
    <row r="1294" s="59" customFormat="1" x14ac:dyDescent="0.2"/>
    <row r="1295" s="59" customFormat="1" x14ac:dyDescent="0.2"/>
    <row r="1296" s="59" customFormat="1" x14ac:dyDescent="0.2"/>
    <row r="1297" s="59" customFormat="1" x14ac:dyDescent="0.2"/>
    <row r="1298" s="59" customFormat="1" x14ac:dyDescent="0.2"/>
    <row r="1299" s="59" customFormat="1" x14ac:dyDescent="0.2"/>
    <row r="1300" s="59" customFormat="1" x14ac:dyDescent="0.2"/>
    <row r="1301" s="59" customFormat="1" x14ac:dyDescent="0.2"/>
    <row r="1302" s="59" customFormat="1" x14ac:dyDescent="0.2"/>
    <row r="1303" s="59" customFormat="1" x14ac:dyDescent="0.2"/>
    <row r="1304" s="59" customFormat="1" x14ac:dyDescent="0.2"/>
    <row r="1305" s="59" customFormat="1" x14ac:dyDescent="0.2"/>
    <row r="1306" s="59" customFormat="1" x14ac:dyDescent="0.2"/>
    <row r="1307" s="59" customFormat="1" x14ac:dyDescent="0.2"/>
    <row r="1308" s="59" customFormat="1" x14ac:dyDescent="0.2"/>
    <row r="1309" s="59" customFormat="1" x14ac:dyDescent="0.2"/>
    <row r="1310" s="59" customFormat="1" x14ac:dyDescent="0.2"/>
    <row r="1311" s="59" customFormat="1" x14ac:dyDescent="0.2"/>
    <row r="1312" s="59" customFormat="1" x14ac:dyDescent="0.2"/>
    <row r="1313" s="59" customFormat="1" x14ac:dyDescent="0.2"/>
    <row r="1314" s="59" customFormat="1" x14ac:dyDescent="0.2"/>
    <row r="1315" s="59" customFormat="1" x14ac:dyDescent="0.2"/>
    <row r="1316" s="59" customFormat="1" x14ac:dyDescent="0.2"/>
    <row r="1317" s="59" customFormat="1" x14ac:dyDescent="0.2"/>
    <row r="1318" s="59" customFormat="1" x14ac:dyDescent="0.2"/>
    <row r="1319" s="59" customFormat="1" x14ac:dyDescent="0.2"/>
    <row r="1320" s="59" customFormat="1" x14ac:dyDescent="0.2"/>
    <row r="1321" s="59" customFormat="1" x14ac:dyDescent="0.2"/>
    <row r="1322" s="59" customFormat="1" x14ac:dyDescent="0.2"/>
    <row r="1323" s="59" customFormat="1" x14ac:dyDescent="0.2"/>
    <row r="1324" s="59" customFormat="1" x14ac:dyDescent="0.2"/>
    <row r="1325" s="59" customFormat="1" x14ac:dyDescent="0.2"/>
    <row r="1326" s="59" customFormat="1" x14ac:dyDescent="0.2"/>
    <row r="1327" s="59" customFormat="1" x14ac:dyDescent="0.2"/>
    <row r="1328" s="59" customFormat="1" x14ac:dyDescent="0.2"/>
    <row r="1329" s="59" customFormat="1" x14ac:dyDescent="0.2"/>
    <row r="1330" s="59" customFormat="1" x14ac:dyDescent="0.2"/>
    <row r="1331" s="59" customFormat="1" x14ac:dyDescent="0.2"/>
    <row r="1332" s="59" customFormat="1" x14ac:dyDescent="0.2"/>
    <row r="1333" s="59" customFormat="1" x14ac:dyDescent="0.2"/>
    <row r="1334" s="59" customFormat="1" x14ac:dyDescent="0.2"/>
    <row r="1335" s="59" customFormat="1" x14ac:dyDescent="0.2"/>
    <row r="1336" s="59" customFormat="1" x14ac:dyDescent="0.2"/>
    <row r="1337" s="59" customFormat="1" x14ac:dyDescent="0.2"/>
    <row r="1338" s="59" customFormat="1" x14ac:dyDescent="0.2"/>
    <row r="1339" s="59" customFormat="1" x14ac:dyDescent="0.2"/>
    <row r="1340" s="59" customFormat="1" x14ac:dyDescent="0.2"/>
    <row r="1341" s="59" customFormat="1" x14ac:dyDescent="0.2"/>
    <row r="1342" s="59" customFormat="1" x14ac:dyDescent="0.2"/>
    <row r="1343" s="59" customFormat="1" x14ac:dyDescent="0.2"/>
    <row r="1344" s="59" customFormat="1" x14ac:dyDescent="0.2"/>
    <row r="1345" s="59" customFormat="1" x14ac:dyDescent="0.2"/>
    <row r="1346" s="59" customFormat="1" x14ac:dyDescent="0.2"/>
    <row r="1347" s="59" customFormat="1" x14ac:dyDescent="0.2"/>
    <row r="1348" s="59" customFormat="1" x14ac:dyDescent="0.2"/>
    <row r="1349" s="59" customFormat="1" x14ac:dyDescent="0.2"/>
    <row r="1350" s="59" customFormat="1" x14ac:dyDescent="0.2"/>
    <row r="1351" s="59" customFormat="1" x14ac:dyDescent="0.2"/>
    <row r="1352" s="59" customFormat="1" x14ac:dyDescent="0.2"/>
    <row r="1353" s="59" customFormat="1" x14ac:dyDescent="0.2"/>
    <row r="1354" s="59" customFormat="1" x14ac:dyDescent="0.2"/>
    <row r="1355" s="59" customFormat="1" x14ac:dyDescent="0.2"/>
    <row r="1356" s="59" customFormat="1" x14ac:dyDescent="0.2"/>
    <row r="1357" s="59" customFormat="1" x14ac:dyDescent="0.2"/>
    <row r="1358" s="59" customFormat="1" x14ac:dyDescent="0.2"/>
    <row r="1359" s="59" customFormat="1" x14ac:dyDescent="0.2"/>
    <row r="1360" s="59" customFormat="1" x14ac:dyDescent="0.2"/>
    <row r="1361" s="59" customFormat="1" x14ac:dyDescent="0.2"/>
    <row r="1362" s="59" customFormat="1" x14ac:dyDescent="0.2"/>
    <row r="1363" s="59" customFormat="1" x14ac:dyDescent="0.2"/>
    <row r="1364" s="59" customFormat="1" x14ac:dyDescent="0.2"/>
    <row r="1365" s="59" customFormat="1" x14ac:dyDescent="0.2"/>
    <row r="1366" s="59" customFormat="1" x14ac:dyDescent="0.2"/>
    <row r="1367" s="59" customFormat="1" x14ac:dyDescent="0.2"/>
    <row r="1368" s="59" customFormat="1" x14ac:dyDescent="0.2"/>
    <row r="1369" s="59" customFormat="1" x14ac:dyDescent="0.2"/>
    <row r="1370" s="59" customFormat="1" x14ac:dyDescent="0.2"/>
    <row r="1371" s="59" customFormat="1" x14ac:dyDescent="0.2"/>
    <row r="1372" s="59" customFormat="1" x14ac:dyDescent="0.2"/>
    <row r="1373" s="59" customFormat="1" x14ac:dyDescent="0.2"/>
    <row r="1374" s="59" customFormat="1" x14ac:dyDescent="0.2"/>
    <row r="1375" s="59" customFormat="1" x14ac:dyDescent="0.2"/>
    <row r="1376" s="59" customFormat="1" x14ac:dyDescent="0.2"/>
    <row r="1377" s="59" customFormat="1" x14ac:dyDescent="0.2"/>
    <row r="1378" s="59" customFormat="1" x14ac:dyDescent="0.2"/>
    <row r="1379" s="59" customFormat="1" x14ac:dyDescent="0.2"/>
    <row r="1380" s="59" customFormat="1" x14ac:dyDescent="0.2"/>
    <row r="1381" s="59" customFormat="1" x14ac:dyDescent="0.2"/>
    <row r="1382" s="59" customFormat="1" x14ac:dyDescent="0.2"/>
    <row r="1383" s="59" customFormat="1" x14ac:dyDescent="0.2"/>
    <row r="1384" s="59" customFormat="1" x14ac:dyDescent="0.2"/>
    <row r="1385" s="59" customFormat="1" x14ac:dyDescent="0.2"/>
    <row r="1386" s="59" customFormat="1" x14ac:dyDescent="0.2"/>
    <row r="1387" s="59" customFormat="1" x14ac:dyDescent="0.2"/>
    <row r="1388" s="59" customFormat="1" x14ac:dyDescent="0.2"/>
    <row r="1389" s="59" customFormat="1" x14ac:dyDescent="0.2"/>
    <row r="1390" s="59" customFormat="1" x14ac:dyDescent="0.2"/>
    <row r="1391" s="59" customFormat="1" x14ac:dyDescent="0.2"/>
    <row r="1392" s="59" customFormat="1" x14ac:dyDescent="0.2"/>
    <row r="1393" s="59" customFormat="1" x14ac:dyDescent="0.2"/>
    <row r="1394" s="59" customFormat="1" x14ac:dyDescent="0.2"/>
    <row r="1395" s="59" customFormat="1" x14ac:dyDescent="0.2"/>
    <row r="1396" s="59" customFormat="1" x14ac:dyDescent="0.2"/>
    <row r="1397" s="59" customFormat="1" x14ac:dyDescent="0.2"/>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O67"/>
  <sheetViews>
    <sheetView zoomScale="90" zoomScaleNormal="90" zoomScalePageLayoutView="90" workbookViewId="0">
      <selection activeCell="G42" sqref="G42"/>
    </sheetView>
  </sheetViews>
  <sheetFormatPr baseColWidth="10" defaultRowHeight="16" customHeight="1" x14ac:dyDescent="0.2"/>
  <cols>
    <col min="1" max="1" width="23.6640625" style="1" customWidth="1"/>
    <col min="2" max="2" width="46.83203125" style="1" customWidth="1"/>
    <col min="3" max="3" width="20" style="1" customWidth="1"/>
    <col min="4" max="7" width="10.83203125" style="1"/>
    <col min="8" max="8" width="25.33203125" style="1" customWidth="1"/>
    <col min="9" max="9" width="31.5" style="1" customWidth="1"/>
    <col min="10" max="16384" width="10.83203125" style="1"/>
  </cols>
  <sheetData>
    <row r="2" spans="1:9" s="2" customFormat="1" ht="16" customHeight="1" x14ac:dyDescent="0.2">
      <c r="A2" s="2" t="s">
        <v>477</v>
      </c>
    </row>
    <row r="3" spans="1:9" ht="16" customHeight="1" x14ac:dyDescent="0.2">
      <c r="H3" s="4" t="s">
        <v>478</v>
      </c>
    </row>
    <row r="4" spans="1:9" ht="16" customHeight="1" x14ac:dyDescent="0.2">
      <c r="A4" s="14" t="s">
        <v>444</v>
      </c>
      <c r="B4" s="14"/>
    </row>
    <row r="5" spans="1:9" ht="16" customHeight="1" x14ac:dyDescent="0.2">
      <c r="A5" s="15" t="s">
        <v>445</v>
      </c>
      <c r="B5" s="15" t="s">
        <v>446</v>
      </c>
    </row>
    <row r="6" spans="1:9" ht="16" customHeight="1" x14ac:dyDescent="0.2">
      <c r="A6" s="16" t="s">
        <v>447</v>
      </c>
      <c r="B6" s="17">
        <v>12500</v>
      </c>
      <c r="H6" s="15" t="s">
        <v>445</v>
      </c>
      <c r="I6" s="15" t="s">
        <v>446</v>
      </c>
    </row>
    <row r="7" spans="1:9" ht="16" customHeight="1" x14ac:dyDescent="0.2">
      <c r="A7" s="18" t="s">
        <v>448</v>
      </c>
      <c r="B7" s="19">
        <v>13200</v>
      </c>
      <c r="H7" s="20" t="s">
        <v>447</v>
      </c>
      <c r="I7" s="21">
        <v>12500</v>
      </c>
    </row>
    <row r="8" spans="1:9" ht="16" customHeight="1" x14ac:dyDescent="0.2">
      <c r="A8" s="16" t="s">
        <v>449</v>
      </c>
      <c r="B8" s="17">
        <v>11800</v>
      </c>
      <c r="H8" s="22" t="s">
        <v>448</v>
      </c>
      <c r="I8" s="23">
        <v>13200</v>
      </c>
    </row>
    <row r="9" spans="1:9" x14ac:dyDescent="0.2">
      <c r="A9" s="18" t="s">
        <v>450</v>
      </c>
      <c r="B9" s="19">
        <v>14500</v>
      </c>
      <c r="H9" s="20" t="s">
        <v>449</v>
      </c>
      <c r="I9" s="21">
        <v>11800</v>
      </c>
    </row>
    <row r="10" spans="1:9" ht="16" customHeight="1" x14ac:dyDescent="0.2">
      <c r="A10" s="16" t="s">
        <v>451</v>
      </c>
      <c r="B10" s="17">
        <v>15200</v>
      </c>
      <c r="H10" s="22" t="s">
        <v>450</v>
      </c>
      <c r="I10" s="23">
        <v>14500</v>
      </c>
    </row>
    <row r="11" spans="1:9" ht="16" customHeight="1" x14ac:dyDescent="0.2">
      <c r="A11" s="18" t="s">
        <v>452</v>
      </c>
      <c r="B11" s="19">
        <v>14800</v>
      </c>
      <c r="H11" s="20" t="s">
        <v>451</v>
      </c>
      <c r="I11" s="21">
        <v>15200</v>
      </c>
    </row>
    <row r="12" spans="1:9" ht="16" customHeight="1" x14ac:dyDescent="0.2">
      <c r="H12" s="22" t="s">
        <v>452</v>
      </c>
      <c r="I12" s="23">
        <v>14800</v>
      </c>
    </row>
    <row r="13" spans="1:9" ht="16" customHeight="1" x14ac:dyDescent="0.2">
      <c r="A13" s="24" t="s">
        <v>453</v>
      </c>
      <c r="B13" s="24"/>
      <c r="C13" s="24"/>
    </row>
    <row r="14" spans="1:9" ht="16" customHeight="1" x14ac:dyDescent="0.2">
      <c r="A14" s="15" t="s">
        <v>454</v>
      </c>
      <c r="B14" s="15" t="s">
        <v>455</v>
      </c>
      <c r="C14" s="15" t="s">
        <v>456</v>
      </c>
    </row>
    <row r="15" spans="1:9" ht="16" customHeight="1" x14ac:dyDescent="0.2">
      <c r="A15" s="25" t="s">
        <v>457</v>
      </c>
      <c r="B15" s="26" t="s">
        <v>458</v>
      </c>
      <c r="C15" s="27">
        <f>AVERAGE(B6:B11)</f>
        <v>13666.666666666666</v>
      </c>
    </row>
    <row r="16" spans="1:9" ht="16" customHeight="1" x14ac:dyDescent="0.2">
      <c r="A16" s="28" t="s">
        <v>459</v>
      </c>
      <c r="B16" s="29" t="s">
        <v>460</v>
      </c>
      <c r="C16" s="30">
        <f>MEDIAN(B6:B11)</f>
        <v>13850</v>
      </c>
    </row>
    <row r="17" spans="1:41" ht="16" customHeight="1" x14ac:dyDescent="0.2">
      <c r="A17" s="25" t="s">
        <v>461</v>
      </c>
      <c r="B17" s="26" t="s">
        <v>462</v>
      </c>
      <c r="C17" s="27">
        <f>STDEV(B6:B11)</f>
        <v>1370.6446172026747</v>
      </c>
    </row>
    <row r="18" spans="1:41" ht="16" customHeight="1" x14ac:dyDescent="0.2">
      <c r="A18" s="28" t="s">
        <v>463</v>
      </c>
      <c r="B18" s="29" t="s">
        <v>464</v>
      </c>
      <c r="C18" s="30">
        <f>VAR(B6:B11)</f>
        <v>1878666.6666666665</v>
      </c>
    </row>
    <row r="19" spans="1:41" ht="16" customHeight="1" x14ac:dyDescent="0.2">
      <c r="A19" s="25" t="s">
        <v>465</v>
      </c>
      <c r="B19" s="26" t="s">
        <v>466</v>
      </c>
      <c r="C19" s="27">
        <f>MIN(B6:B11)</f>
        <v>11800</v>
      </c>
    </row>
    <row r="20" spans="1:41" ht="16" customHeight="1" x14ac:dyDescent="0.2">
      <c r="A20" s="28" t="s">
        <v>467</v>
      </c>
      <c r="B20" s="29" t="s">
        <v>468</v>
      </c>
      <c r="C20" s="30">
        <f>MAX(B6:B11)</f>
        <v>15200</v>
      </c>
    </row>
    <row r="22" spans="1:41" ht="16" customHeight="1" x14ac:dyDescent="0.2">
      <c r="A22" s="24" t="s">
        <v>469</v>
      </c>
      <c r="B22" s="24"/>
      <c r="C22" s="24"/>
    </row>
    <row r="23" spans="1:41" ht="16" customHeight="1" x14ac:dyDescent="0.2">
      <c r="A23" s="15" t="s">
        <v>470</v>
      </c>
      <c r="B23" s="15" t="s">
        <v>455</v>
      </c>
      <c r="C23" s="15" t="s">
        <v>456</v>
      </c>
    </row>
    <row r="24" spans="1:41" ht="31" customHeight="1" x14ac:dyDescent="0.2">
      <c r="A24" s="31" t="s">
        <v>471</v>
      </c>
      <c r="B24" s="32" t="s">
        <v>472</v>
      </c>
      <c r="C24" s="33" t="str">
        <f>INDEX(A6:A11,MATCH(MAX(B6:B11),B6:B11,0))</f>
        <v>Mayo</v>
      </c>
    </row>
    <row r="25" spans="1:41" ht="24" customHeight="1" x14ac:dyDescent="0.2">
      <c r="A25" s="31" t="s">
        <v>473</v>
      </c>
      <c r="B25" s="32" t="s">
        <v>468</v>
      </c>
      <c r="C25" s="34">
        <f>MAX(B6:B11)</f>
        <v>15200</v>
      </c>
    </row>
    <row r="26" spans="1:41" ht="26" customHeight="1" x14ac:dyDescent="0.2">
      <c r="A26" s="35" t="s">
        <v>474</v>
      </c>
      <c r="B26" s="36" t="s">
        <v>475</v>
      </c>
      <c r="C26" s="37" t="str">
        <f>INDEX(A6:A11,MATCH(MIN(B6:B11),B6:B11,0))</f>
        <v>Marzo</v>
      </c>
    </row>
    <row r="27" spans="1:41" ht="25" customHeight="1" x14ac:dyDescent="0.2">
      <c r="A27" s="35" t="s">
        <v>476</v>
      </c>
      <c r="B27" s="36" t="s">
        <v>466</v>
      </c>
      <c r="C27" s="38">
        <f>MIN(B6:B11)</f>
        <v>11800</v>
      </c>
    </row>
    <row r="30" spans="1:41" s="2" customFormat="1" ht="16" customHeight="1" x14ac:dyDescent="0.2"/>
    <row r="32" spans="1:41" s="13" customFormat="1" x14ac:dyDescent="0.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row>
    <row r="33" spans="1:41" s="13" customFormat="1" x14ac:dyDescent="0.2">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row>
    <row r="34" spans="1:41" s="13" customForma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row>
    <row r="35" spans="1:41" s="13" customFormat="1" x14ac:dyDescent="0.2">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row>
    <row r="36" spans="1:41" s="13" customFormat="1" x14ac:dyDescent="0.2">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row>
    <row r="37" spans="1:41" s="13" customFormat="1" x14ac:dyDescent="0.2">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row>
    <row r="38" spans="1:41" s="13" customFormat="1" x14ac:dyDescent="0.2">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row>
    <row r="39" spans="1:41" s="13" customFormat="1" x14ac:dyDescent="0.2">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row>
    <row r="40" spans="1:41" s="13" customFormat="1" x14ac:dyDescent="0.2">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row>
    <row r="41" spans="1:41" s="13" customFormat="1" x14ac:dyDescent="0.2">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row>
    <row r="42" spans="1:41" s="13" customFormat="1" x14ac:dyDescent="0.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row>
    <row r="43" spans="1:41" s="13" customFormat="1" x14ac:dyDescent="0.2">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row>
    <row r="44" spans="1:41" s="13" customFormat="1" x14ac:dyDescent="0.2">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row>
    <row r="45" spans="1:41" s="13" customFormat="1" x14ac:dyDescent="0.2">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row>
    <row r="46" spans="1:41" s="13" customFormat="1" x14ac:dyDescent="0.2">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row>
    <row r="47" spans="1:41" s="13" customFormat="1" x14ac:dyDescent="0.2">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row>
    <row r="48" spans="1:41" s="13" customForma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row>
    <row r="49" spans="1:41" s="13" customFormat="1" x14ac:dyDescent="0.2">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row>
    <row r="50" spans="1:41" s="13" customFormat="1" x14ac:dyDescent="0.2">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row>
    <row r="51" spans="1:41" s="13" customFormat="1" ht="16" customHeight="1" x14ac:dyDescent="0.2">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row>
    <row r="52" spans="1:41" s="13" customFormat="1" ht="16" customHeight="1" x14ac:dyDescent="0.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row>
    <row r="53" spans="1:41" s="13" customFormat="1" ht="16" customHeight="1" x14ac:dyDescent="0.2">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1:41" s="13" customFormat="1" ht="16" customHeight="1" x14ac:dyDescent="0.2">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row>
    <row r="55" spans="1:41" s="13" customFormat="1" ht="16" customHeight="1" x14ac:dyDescent="0.2">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row>
    <row r="56" spans="1:41" s="13" customFormat="1" ht="16" customHeight="1" x14ac:dyDescent="0.2">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row>
    <row r="57" spans="1:41" s="13" customFormat="1" ht="16" customHeight="1" x14ac:dyDescent="0.2">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row>
    <row r="58" spans="1:41" s="13" customFormat="1" ht="16" customHeight="1" x14ac:dyDescent="0.2">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row>
    <row r="59" spans="1:41" s="13" customFormat="1" ht="16" customHeight="1" x14ac:dyDescent="0.2">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row>
    <row r="60" spans="1:41" s="13" customFormat="1" ht="16" customHeight="1" x14ac:dyDescent="0.2">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row>
    <row r="61" spans="1:41" s="13" customFormat="1" ht="16" customHeight="1" x14ac:dyDescent="0.2">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row>
    <row r="62" spans="1:41" s="13" customFormat="1" ht="16" customHeight="1" x14ac:dyDescent="0.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row>
    <row r="63" spans="1:41" s="13" customFormat="1" ht="16" customHeight="1" x14ac:dyDescent="0.2">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row>
    <row r="64" spans="1:41" s="13" customFormat="1" ht="16" customHeight="1" x14ac:dyDescent="0.2">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row>
    <row r="65" spans="1:41" s="13" customFormat="1" ht="16" customHeight="1" x14ac:dyDescent="0.2">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row>
    <row r="66" spans="1:41" s="13" customFormat="1" ht="16" customHeight="1" x14ac:dyDescent="0.2">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row>
    <row r="67" spans="1:41" s="13" customFormat="1" ht="16" customHeight="1" x14ac:dyDescent="0.2">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row>
  </sheetData>
  <mergeCells count="3">
    <mergeCell ref="A4:B4"/>
    <mergeCell ref="A13:C13"/>
    <mergeCell ref="A22:C22"/>
  </mergeCells>
  <pageMargins left="0.7" right="0.7" top="0.75" bottom="0.75" header="0.3" footer="0.3"/>
  <pageSetup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67"/>
  <sheetViews>
    <sheetView workbookViewId="0">
      <selection activeCell="F36" sqref="F36"/>
    </sheetView>
  </sheetViews>
  <sheetFormatPr baseColWidth="10" defaultRowHeight="16" x14ac:dyDescent="0.2"/>
  <cols>
    <col min="1" max="1" width="15.6640625" style="11" customWidth="1"/>
    <col min="2" max="2" width="20.1640625" style="11" customWidth="1"/>
    <col min="3" max="3" width="16.83203125" style="11" customWidth="1"/>
    <col min="4" max="4" width="15.1640625" style="11" customWidth="1"/>
    <col min="5" max="5" width="18.6640625" style="11" customWidth="1"/>
    <col min="6" max="6" width="22.5" style="48" customWidth="1"/>
    <col min="7" max="16384" width="10.83203125" style="11"/>
  </cols>
  <sheetData>
    <row r="2" spans="1:6" s="12" customFormat="1" x14ac:dyDescent="0.2">
      <c r="A2" s="12" t="s">
        <v>628</v>
      </c>
      <c r="F2" s="39"/>
    </row>
    <row r="4" spans="1:6" x14ac:dyDescent="0.2">
      <c r="A4" s="40" t="s">
        <v>575</v>
      </c>
      <c r="B4" s="40" t="s">
        <v>576</v>
      </c>
      <c r="C4" s="40" t="s">
        <v>0</v>
      </c>
      <c r="D4" s="40" t="s">
        <v>577</v>
      </c>
      <c r="E4" s="40" t="s">
        <v>2</v>
      </c>
      <c r="F4" s="41" t="s">
        <v>641</v>
      </c>
    </row>
    <row r="5" spans="1:6" x14ac:dyDescent="0.2">
      <c r="A5" s="42" t="s">
        <v>578</v>
      </c>
      <c r="B5" s="42" t="s">
        <v>579</v>
      </c>
      <c r="C5" s="43" t="s">
        <v>580</v>
      </c>
      <c r="D5" s="44">
        <v>3</v>
      </c>
      <c r="E5" s="45">
        <v>2699.97</v>
      </c>
      <c r="F5" s="46">
        <f>E5-(D5*VLOOKUP(B5,$A$31:$E$40,5,FALSE))</f>
        <v>839.9699999999998</v>
      </c>
    </row>
    <row r="6" spans="1:6" x14ac:dyDescent="0.2">
      <c r="A6" s="42" t="s">
        <v>581</v>
      </c>
      <c r="B6" s="42" t="s">
        <v>582</v>
      </c>
      <c r="C6" s="43" t="s">
        <v>583</v>
      </c>
      <c r="D6" s="44">
        <v>5</v>
      </c>
      <c r="E6" s="45">
        <v>227.5</v>
      </c>
      <c r="F6" s="46">
        <f t="shared" ref="F6:F24" si="0">E6-(D6*VLOOKUP(B6,$A$31:$E$40,5,FALSE))</f>
        <v>137.5</v>
      </c>
    </row>
    <row r="7" spans="1:6" x14ac:dyDescent="0.2">
      <c r="A7" s="42" t="s">
        <v>584</v>
      </c>
      <c r="B7" s="42" t="s">
        <v>585</v>
      </c>
      <c r="C7" s="43" t="s">
        <v>586</v>
      </c>
      <c r="D7" s="44">
        <v>2</v>
      </c>
      <c r="E7" s="45">
        <v>239.98</v>
      </c>
      <c r="F7" s="46">
        <f t="shared" si="0"/>
        <v>95.97999999999999</v>
      </c>
    </row>
    <row r="8" spans="1:6" x14ac:dyDescent="0.2">
      <c r="A8" s="42" t="s">
        <v>587</v>
      </c>
      <c r="B8" s="42" t="s">
        <v>588</v>
      </c>
      <c r="C8" s="43" t="s">
        <v>589</v>
      </c>
      <c r="D8" s="44">
        <v>4</v>
      </c>
      <c r="E8" s="45">
        <v>51.96</v>
      </c>
      <c r="F8" s="46">
        <f t="shared" si="0"/>
        <v>37.96</v>
      </c>
    </row>
    <row r="9" spans="1:6" x14ac:dyDescent="0.2">
      <c r="A9" s="42" t="s">
        <v>590</v>
      </c>
      <c r="B9" s="42" t="s">
        <v>591</v>
      </c>
      <c r="C9" s="43" t="s">
        <v>592</v>
      </c>
      <c r="D9" s="44">
        <v>1</v>
      </c>
      <c r="E9" s="45">
        <v>899.99</v>
      </c>
      <c r="F9" s="46">
        <f t="shared" si="0"/>
        <v>319.99</v>
      </c>
    </row>
    <row r="10" spans="1:6" x14ac:dyDescent="0.2">
      <c r="A10" s="42" t="s">
        <v>593</v>
      </c>
      <c r="B10" s="42" t="s">
        <v>579</v>
      </c>
      <c r="C10" s="43" t="s">
        <v>594</v>
      </c>
      <c r="D10" s="44">
        <v>2</v>
      </c>
      <c r="E10" s="45">
        <v>1799.98</v>
      </c>
      <c r="F10" s="46">
        <f t="shared" si="0"/>
        <v>559.98</v>
      </c>
    </row>
    <row r="11" spans="1:6" x14ac:dyDescent="0.2">
      <c r="A11" s="42" t="s">
        <v>595</v>
      </c>
      <c r="B11" s="42" t="s">
        <v>596</v>
      </c>
      <c r="C11" s="43" t="s">
        <v>597</v>
      </c>
      <c r="D11" s="44">
        <v>6</v>
      </c>
      <c r="E11" s="45">
        <v>77.94</v>
      </c>
      <c r="F11" s="46">
        <f t="shared" si="0"/>
        <v>52.739999999999995</v>
      </c>
    </row>
    <row r="12" spans="1:6" x14ac:dyDescent="0.2">
      <c r="A12" s="42" t="s">
        <v>598</v>
      </c>
      <c r="B12" s="42" t="s">
        <v>582</v>
      </c>
      <c r="C12" s="43" t="s">
        <v>599</v>
      </c>
      <c r="D12" s="44">
        <v>3</v>
      </c>
      <c r="E12" s="45">
        <v>136.5</v>
      </c>
      <c r="F12" s="46">
        <f t="shared" si="0"/>
        <v>82.5</v>
      </c>
    </row>
    <row r="13" spans="1:6" x14ac:dyDescent="0.2">
      <c r="A13" s="42" t="s">
        <v>600</v>
      </c>
      <c r="B13" s="42" t="s">
        <v>601</v>
      </c>
      <c r="C13" s="43" t="s">
        <v>602</v>
      </c>
      <c r="D13" s="44">
        <v>2</v>
      </c>
      <c r="E13" s="45">
        <v>319.98</v>
      </c>
      <c r="F13" s="46">
        <f t="shared" si="0"/>
        <v>189.98000000000002</v>
      </c>
    </row>
    <row r="14" spans="1:6" x14ac:dyDescent="0.2">
      <c r="A14" s="42" t="s">
        <v>603</v>
      </c>
      <c r="B14" s="42" t="s">
        <v>585</v>
      </c>
      <c r="C14" s="43" t="s">
        <v>604</v>
      </c>
      <c r="D14" s="44">
        <v>3</v>
      </c>
      <c r="E14" s="45">
        <v>359.97</v>
      </c>
      <c r="F14" s="46">
        <f t="shared" si="0"/>
        <v>143.97000000000003</v>
      </c>
    </row>
    <row r="15" spans="1:6" x14ac:dyDescent="0.2">
      <c r="A15" s="42" t="s">
        <v>605</v>
      </c>
      <c r="B15" s="42" t="s">
        <v>606</v>
      </c>
      <c r="C15" s="43" t="s">
        <v>607</v>
      </c>
      <c r="D15" s="44">
        <v>5</v>
      </c>
      <c r="E15" s="45">
        <v>124.95</v>
      </c>
      <c r="F15" s="46">
        <f t="shared" si="0"/>
        <v>94.95</v>
      </c>
    </row>
    <row r="16" spans="1:6" x14ac:dyDescent="0.2">
      <c r="A16" s="42" t="s">
        <v>608</v>
      </c>
      <c r="B16" s="42" t="s">
        <v>588</v>
      </c>
      <c r="C16" s="43" t="s">
        <v>609</v>
      </c>
      <c r="D16" s="44">
        <v>8</v>
      </c>
      <c r="E16" s="45">
        <v>103.92</v>
      </c>
      <c r="F16" s="46">
        <f t="shared" si="0"/>
        <v>75.92</v>
      </c>
    </row>
    <row r="17" spans="1:6" x14ac:dyDescent="0.2">
      <c r="A17" s="42" t="s">
        <v>610</v>
      </c>
      <c r="B17" s="42" t="s">
        <v>591</v>
      </c>
      <c r="C17" s="43" t="s">
        <v>611</v>
      </c>
      <c r="D17" s="44">
        <v>2</v>
      </c>
      <c r="E17" s="45">
        <v>1799.98</v>
      </c>
      <c r="F17" s="46">
        <f t="shared" si="0"/>
        <v>639.98</v>
      </c>
    </row>
    <row r="18" spans="1:6" x14ac:dyDescent="0.2">
      <c r="A18" s="42" t="s">
        <v>612</v>
      </c>
      <c r="B18" s="42" t="s">
        <v>613</v>
      </c>
      <c r="C18" s="43" t="s">
        <v>614</v>
      </c>
      <c r="D18" s="44">
        <v>4</v>
      </c>
      <c r="E18" s="45">
        <v>239.96</v>
      </c>
      <c r="F18" s="46">
        <f t="shared" si="0"/>
        <v>139.96</v>
      </c>
    </row>
    <row r="19" spans="1:6" x14ac:dyDescent="0.2">
      <c r="A19" s="42" t="s">
        <v>615</v>
      </c>
      <c r="B19" s="42" t="s">
        <v>616</v>
      </c>
      <c r="C19" s="43" t="s">
        <v>617</v>
      </c>
      <c r="D19" s="44">
        <v>1</v>
      </c>
      <c r="E19" s="45">
        <v>449.99</v>
      </c>
      <c r="F19" s="46">
        <f t="shared" si="0"/>
        <v>139.99</v>
      </c>
    </row>
    <row r="20" spans="1:6" x14ac:dyDescent="0.2">
      <c r="A20" s="42" t="s">
        <v>618</v>
      </c>
      <c r="B20" s="42" t="s">
        <v>596</v>
      </c>
      <c r="C20" s="43" t="s">
        <v>619</v>
      </c>
      <c r="D20" s="44">
        <v>3</v>
      </c>
      <c r="E20" s="45">
        <v>38.97</v>
      </c>
      <c r="F20" s="46">
        <f t="shared" si="0"/>
        <v>26.369999999999997</v>
      </c>
    </row>
    <row r="21" spans="1:6" x14ac:dyDescent="0.2">
      <c r="A21" s="42" t="s">
        <v>620</v>
      </c>
      <c r="B21" s="42" t="s">
        <v>579</v>
      </c>
      <c r="C21" s="43" t="s">
        <v>621</v>
      </c>
      <c r="D21" s="44">
        <v>1</v>
      </c>
      <c r="E21" s="45">
        <v>899.99</v>
      </c>
      <c r="F21" s="46">
        <f t="shared" si="0"/>
        <v>279.99</v>
      </c>
    </row>
    <row r="22" spans="1:6" x14ac:dyDescent="0.2">
      <c r="A22" s="42" t="s">
        <v>622</v>
      </c>
      <c r="B22" s="42" t="s">
        <v>601</v>
      </c>
      <c r="C22" s="43" t="s">
        <v>623</v>
      </c>
      <c r="D22" s="44">
        <v>5</v>
      </c>
      <c r="E22" s="45">
        <v>799.95</v>
      </c>
      <c r="F22" s="46">
        <f t="shared" si="0"/>
        <v>474.95000000000005</v>
      </c>
    </row>
    <row r="23" spans="1:6" x14ac:dyDescent="0.2">
      <c r="A23" s="42" t="s">
        <v>624</v>
      </c>
      <c r="B23" s="42" t="s">
        <v>606</v>
      </c>
      <c r="C23" s="43" t="s">
        <v>625</v>
      </c>
      <c r="D23" s="44">
        <v>2</v>
      </c>
      <c r="E23" s="45">
        <v>49.98</v>
      </c>
      <c r="F23" s="46">
        <f t="shared" si="0"/>
        <v>37.979999999999997</v>
      </c>
    </row>
    <row r="24" spans="1:6" x14ac:dyDescent="0.2">
      <c r="A24" s="42" t="s">
        <v>626</v>
      </c>
      <c r="B24" s="42" t="s">
        <v>616</v>
      </c>
      <c r="C24" s="43" t="s">
        <v>627</v>
      </c>
      <c r="D24" s="44">
        <v>3</v>
      </c>
      <c r="E24" s="45">
        <v>1349.97</v>
      </c>
      <c r="F24" s="46">
        <f t="shared" si="0"/>
        <v>419.97</v>
      </c>
    </row>
    <row r="28" spans="1:6" s="12" customFormat="1" x14ac:dyDescent="0.2">
      <c r="A28" s="12" t="s">
        <v>635</v>
      </c>
      <c r="F28" s="39"/>
    </row>
    <row r="30" spans="1:6" x14ac:dyDescent="0.2">
      <c r="A30" s="47" t="s">
        <v>576</v>
      </c>
      <c r="B30" s="47" t="s">
        <v>629</v>
      </c>
      <c r="C30" s="47" t="s">
        <v>479</v>
      </c>
      <c r="D30" s="47" t="s">
        <v>630</v>
      </c>
      <c r="E30" s="47" t="s">
        <v>631</v>
      </c>
    </row>
    <row r="31" spans="1:6" x14ac:dyDescent="0.2">
      <c r="A31" s="49" t="s">
        <v>579</v>
      </c>
      <c r="B31" s="49" t="s">
        <v>493</v>
      </c>
      <c r="C31" s="49" t="s">
        <v>632</v>
      </c>
      <c r="D31" s="50">
        <v>899.99</v>
      </c>
      <c r="E31" s="50">
        <v>620</v>
      </c>
    </row>
    <row r="32" spans="1:6" x14ac:dyDescent="0.2">
      <c r="A32" s="49" t="s">
        <v>582</v>
      </c>
      <c r="B32" s="49" t="s">
        <v>515</v>
      </c>
      <c r="C32" s="49" t="s">
        <v>633</v>
      </c>
      <c r="D32" s="50">
        <v>45.5</v>
      </c>
      <c r="E32" s="50">
        <v>18</v>
      </c>
    </row>
    <row r="33" spans="1:6" x14ac:dyDescent="0.2">
      <c r="A33" s="49" t="s">
        <v>585</v>
      </c>
      <c r="B33" s="49" t="s">
        <v>495</v>
      </c>
      <c r="C33" s="49" t="s">
        <v>632</v>
      </c>
      <c r="D33" s="50">
        <v>119.99</v>
      </c>
      <c r="E33" s="50">
        <v>72</v>
      </c>
    </row>
    <row r="34" spans="1:6" x14ac:dyDescent="0.2">
      <c r="A34" s="49" t="s">
        <v>588</v>
      </c>
      <c r="B34" s="49" t="s">
        <v>508</v>
      </c>
      <c r="C34" s="49" t="s">
        <v>25</v>
      </c>
      <c r="D34" s="50">
        <v>12.99</v>
      </c>
      <c r="E34" s="50">
        <v>3.5</v>
      </c>
    </row>
    <row r="35" spans="1:6" x14ac:dyDescent="0.2">
      <c r="A35" s="49" t="s">
        <v>591</v>
      </c>
      <c r="B35" s="49" t="s">
        <v>489</v>
      </c>
      <c r="C35" s="49" t="s">
        <v>632</v>
      </c>
      <c r="D35" s="50">
        <v>899.99</v>
      </c>
      <c r="E35" s="50">
        <v>580</v>
      </c>
    </row>
    <row r="36" spans="1:6" x14ac:dyDescent="0.2">
      <c r="A36" s="49" t="s">
        <v>596</v>
      </c>
      <c r="B36" s="49" t="s">
        <v>507</v>
      </c>
      <c r="C36" s="49" t="s">
        <v>25</v>
      </c>
      <c r="D36" s="50">
        <v>12.99</v>
      </c>
      <c r="E36" s="50">
        <v>4.2</v>
      </c>
    </row>
    <row r="37" spans="1:6" x14ac:dyDescent="0.2">
      <c r="A37" s="49" t="s">
        <v>601</v>
      </c>
      <c r="B37" s="49" t="s">
        <v>481</v>
      </c>
      <c r="C37" s="49" t="s">
        <v>633</v>
      </c>
      <c r="D37" s="50">
        <v>159.99</v>
      </c>
      <c r="E37" s="50">
        <v>65</v>
      </c>
    </row>
    <row r="38" spans="1:6" x14ac:dyDescent="0.2">
      <c r="A38" s="49" t="s">
        <v>606</v>
      </c>
      <c r="B38" s="49" t="s">
        <v>503</v>
      </c>
      <c r="C38" s="49" t="s">
        <v>25</v>
      </c>
      <c r="D38" s="50">
        <v>24.99</v>
      </c>
      <c r="E38" s="50">
        <v>6</v>
      </c>
    </row>
    <row r="39" spans="1:6" x14ac:dyDescent="0.2">
      <c r="A39" s="49" t="s">
        <v>613</v>
      </c>
      <c r="B39" s="49" t="s">
        <v>542</v>
      </c>
      <c r="C39" s="49" t="s">
        <v>633</v>
      </c>
      <c r="D39" s="50">
        <v>59.99</v>
      </c>
      <c r="E39" s="50">
        <v>25</v>
      </c>
    </row>
    <row r="40" spans="1:6" x14ac:dyDescent="0.2">
      <c r="A40" s="49" t="s">
        <v>616</v>
      </c>
      <c r="B40" s="49" t="s">
        <v>634</v>
      </c>
      <c r="C40" s="49" t="s">
        <v>632</v>
      </c>
      <c r="D40" s="50">
        <v>449.99</v>
      </c>
      <c r="E40" s="50">
        <v>310</v>
      </c>
    </row>
    <row r="44" spans="1:6" s="12" customFormat="1" x14ac:dyDescent="0.2">
      <c r="A44" s="12" t="s">
        <v>636</v>
      </c>
      <c r="F44" s="39"/>
    </row>
    <row r="46" spans="1:6" x14ac:dyDescent="0.2">
      <c r="A46" s="11" t="s">
        <v>642</v>
      </c>
    </row>
    <row r="47" spans="1:6" x14ac:dyDescent="0.2">
      <c r="A47" s="11" t="s">
        <v>643</v>
      </c>
    </row>
    <row r="49" spans="1:1" x14ac:dyDescent="0.2">
      <c r="A49" s="11" t="s">
        <v>637</v>
      </c>
    </row>
    <row r="52" spans="1:1" x14ac:dyDescent="0.2">
      <c r="A52" s="2" t="s">
        <v>638</v>
      </c>
    </row>
    <row r="53" spans="1:1" x14ac:dyDescent="0.2">
      <c r="A53" s="1"/>
    </row>
    <row r="54" spans="1:1" x14ac:dyDescent="0.2">
      <c r="A54" s="2" t="s">
        <v>644</v>
      </c>
    </row>
    <row r="55" spans="1:1" x14ac:dyDescent="0.2">
      <c r="A55" s="2" t="s">
        <v>645</v>
      </c>
    </row>
    <row r="56" spans="1:1" x14ac:dyDescent="0.2">
      <c r="A56" s="2" t="s">
        <v>648</v>
      </c>
    </row>
    <row r="60" spans="1:1" x14ac:dyDescent="0.2">
      <c r="A60" s="2" t="s">
        <v>639</v>
      </c>
    </row>
    <row r="61" spans="1:1" x14ac:dyDescent="0.2">
      <c r="A61" s="1"/>
    </row>
    <row r="62" spans="1:1" x14ac:dyDescent="0.2">
      <c r="A62" s="1" t="s">
        <v>649</v>
      </c>
    </row>
    <row r="63" spans="1:1" x14ac:dyDescent="0.2">
      <c r="A63" s="1" t="s">
        <v>640</v>
      </c>
    </row>
    <row r="66" spans="1:1" x14ac:dyDescent="0.2">
      <c r="A66" s="12" t="s">
        <v>646</v>
      </c>
    </row>
    <row r="67" spans="1:1" x14ac:dyDescent="0.2">
      <c r="A67" s="11"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4</vt:i4>
      </vt:variant>
    </vt:vector>
  </HeadingPairs>
  <TitlesOfParts>
    <vt:vector size="4" baseType="lpstr">
      <vt:lpstr>Material de apoyo - Prueba </vt:lpstr>
      <vt:lpstr>Pregunta 1</vt:lpstr>
      <vt:lpstr>Pregunta 2</vt:lpstr>
      <vt:lpstr>Pregunta 3</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 de Microsoft Office</dc:creator>
  <cp:lastModifiedBy>Usuario de Microsoft Office</cp:lastModifiedBy>
  <dcterms:created xsi:type="dcterms:W3CDTF">2026-06-04T01:36:54Z</dcterms:created>
  <dcterms:modified xsi:type="dcterms:W3CDTF">2026-08-21T21:16:36Z</dcterms:modified>
</cp:coreProperties>
</file>