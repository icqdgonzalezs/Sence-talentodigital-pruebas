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hidePivotFieldList="1"/>
  <mc:AlternateContent xmlns:mc="http://schemas.openxmlformats.org/markup-compatibility/2006">
    <mc:Choice Requires="x15">
      <x15ac:absPath xmlns:x15ac="http://schemas.microsoft.com/office/spreadsheetml/2010/11/ac" url="/Users/violeta/Desktop/"/>
    </mc:Choice>
  </mc:AlternateContent>
  <bookViews>
    <workbookView xWindow="740" yWindow="460" windowWidth="28060" windowHeight="17540" tabRatio="500" activeTab="3"/>
  </bookViews>
  <sheets>
    <sheet name="Material de apoyo - Prueba " sheetId="7" r:id="rId1"/>
    <sheet name="Pregunta 1" sheetId="2" r:id="rId2"/>
    <sheet name="Pregunta 2" sheetId="3" r:id="rId3"/>
    <sheet name="Pregunta 3" sheetId="8" r:id="rId4"/>
  </sheets>
  <externalReferences>
    <externalReference r:id="rId5"/>
  </externalReferences>
  <definedNames>
    <definedName name="_10_Material_de_apoyo___Prueba" localSheetId="2">'Pregunta 2'!#REF!</definedName>
    <definedName name="_xlnm._FilterDatabase" localSheetId="0" hidden="1">'Material de apoyo - Prueba '!$A$1:$G$305</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5" i="3" l="1"/>
  <c r="D27" i="3"/>
  <c r="D26" i="3"/>
  <c r="D25" i="3"/>
  <c r="D24" i="3"/>
  <c r="D20" i="3"/>
  <c r="D19" i="3"/>
  <c r="D18" i="3"/>
  <c r="D17" i="3"/>
  <c r="D16" i="3"/>
</calcChain>
</file>

<file path=xl/connections.xml><?xml version="1.0" encoding="utf-8"?>
<connections xmlns="http://schemas.openxmlformats.org/spreadsheetml/2006/main">
  <connection id="1" name="10_Material de apoyo - Prueba" type="6" refreshedVersion="0" background="1">
    <textPr fileType="mac" sourceFile="/Users/violeta/Downloads/10_Material de apoyo - Prueba.csv" delimited="0" decimal="," thousands=".">
      <textFields>
        <textField/>
      </textFields>
    </textPr>
  </connection>
</connections>
</file>

<file path=xl/sharedStrings.xml><?xml version="1.0" encoding="utf-8"?>
<sst xmlns="http://schemas.openxmlformats.org/spreadsheetml/2006/main" count="1688" uniqueCount="648">
  <si>
    <t>º</t>
  </si>
  <si>
    <t>Fecha</t>
  </si>
  <si>
    <t>Producto</t>
  </si>
  <si>
    <t>Monto</t>
  </si>
  <si>
    <t>Stock</t>
  </si>
  <si>
    <t>ID_Cliente</t>
  </si>
  <si>
    <t>15/01/2024</t>
  </si>
  <si>
    <t>Norte</t>
  </si>
  <si>
    <t>C001</t>
  </si>
  <si>
    <t>16/01/2024</t>
  </si>
  <si>
    <t>Sur</t>
  </si>
  <si>
    <t>C003</t>
  </si>
  <si>
    <t>17/01/2024</t>
  </si>
  <si>
    <t>Centro</t>
  </si>
  <si>
    <t>C005</t>
  </si>
  <si>
    <t>C006</t>
  </si>
  <si>
    <t>Este</t>
  </si>
  <si>
    <t>20/01/2024</t>
  </si>
  <si>
    <t>C009</t>
  </si>
  <si>
    <t>21/01/2024</t>
  </si>
  <si>
    <t>Oeste</t>
  </si>
  <si>
    <t>C010</t>
  </si>
  <si>
    <t>22/01/2024</t>
  </si>
  <si>
    <t>SmartWatch</t>
  </si>
  <si>
    <t>C011</t>
  </si>
  <si>
    <t>23/01/2024</t>
  </si>
  <si>
    <t>Accesorios</t>
  </si>
  <si>
    <t>C012</t>
  </si>
  <si>
    <t>24/01/2024</t>
  </si>
  <si>
    <t>C013</t>
  </si>
  <si>
    <t>25/01/2024</t>
  </si>
  <si>
    <t>C014</t>
  </si>
  <si>
    <t>26/01/2024</t>
  </si>
  <si>
    <t>C015</t>
  </si>
  <si>
    <t>01/03/2024</t>
  </si>
  <si>
    <t>C016</t>
  </si>
  <si>
    <t>21/08/2024</t>
  </si>
  <si>
    <t>C017</t>
  </si>
  <si>
    <t>10/05/2024</t>
  </si>
  <si>
    <t>C018</t>
  </si>
  <si>
    <t>C019</t>
  </si>
  <si>
    <t>23/06/2024</t>
  </si>
  <si>
    <t>C020</t>
  </si>
  <si>
    <t>C021</t>
  </si>
  <si>
    <t>12/06/2024</t>
  </si>
  <si>
    <t>C022</t>
  </si>
  <si>
    <t>C023</t>
  </si>
  <si>
    <t>24/11/2024</t>
  </si>
  <si>
    <t>C024</t>
  </si>
  <si>
    <t>C025</t>
  </si>
  <si>
    <t>C026</t>
  </si>
  <si>
    <t>28/09/2024</t>
  </si>
  <si>
    <t>C027</t>
  </si>
  <si>
    <t>17/11/2024</t>
  </si>
  <si>
    <t>C028</t>
  </si>
  <si>
    <t>28/07/2024</t>
  </si>
  <si>
    <t>C029</t>
  </si>
  <si>
    <t>C030</t>
  </si>
  <si>
    <t>03/07/2024</t>
  </si>
  <si>
    <t>C031</t>
  </si>
  <si>
    <t>25/11/2024</t>
  </si>
  <si>
    <t>C032</t>
  </si>
  <si>
    <t>06/10/2024</t>
  </si>
  <si>
    <t>C033</t>
  </si>
  <si>
    <t>28/03/2024</t>
  </si>
  <si>
    <t>C035</t>
  </si>
  <si>
    <t>30/07/2024</t>
  </si>
  <si>
    <t>C036</t>
  </si>
  <si>
    <t>12/07/2024</t>
  </si>
  <si>
    <t>C037</t>
  </si>
  <si>
    <t>20/09/2024</t>
  </si>
  <si>
    <t>C038</t>
  </si>
  <si>
    <t>26/08/2024</t>
  </si>
  <si>
    <t>C039</t>
  </si>
  <si>
    <t>C040</t>
  </si>
  <si>
    <t>25/06/2024</t>
  </si>
  <si>
    <t>C041</t>
  </si>
  <si>
    <t>13/12/2024</t>
  </si>
  <si>
    <t>C042</t>
  </si>
  <si>
    <t>25/04/2024</t>
  </si>
  <si>
    <t>C043</t>
  </si>
  <si>
    <t>22/11/2024</t>
  </si>
  <si>
    <t>C045</t>
  </si>
  <si>
    <t>26/02/2024</t>
  </si>
  <si>
    <t>C046</t>
  </si>
  <si>
    <t>17/04/2024</t>
  </si>
  <si>
    <t>C047</t>
  </si>
  <si>
    <t>C048</t>
  </si>
  <si>
    <t>C050</t>
  </si>
  <si>
    <t>C052</t>
  </si>
  <si>
    <t>28/04/2024</t>
  </si>
  <si>
    <t>C053</t>
  </si>
  <si>
    <t>C054</t>
  </si>
  <si>
    <t>C055</t>
  </si>
  <si>
    <t>18/11/2024</t>
  </si>
  <si>
    <t>C056</t>
  </si>
  <si>
    <t>01/10/2024</t>
  </si>
  <si>
    <t>C059</t>
  </si>
  <si>
    <t>C060</t>
  </si>
  <si>
    <t>C061</t>
  </si>
  <si>
    <t>16/10/2024</t>
  </si>
  <si>
    <t>C063</t>
  </si>
  <si>
    <t>04/09/2024</t>
  </si>
  <si>
    <t>C064</t>
  </si>
  <si>
    <t>02/05/2024</t>
  </si>
  <si>
    <t>C065</t>
  </si>
  <si>
    <t>05/11/2024</t>
  </si>
  <si>
    <t>C066</t>
  </si>
  <si>
    <t>04/07/2024</t>
  </si>
  <si>
    <t>C067</t>
  </si>
  <si>
    <t>05/02/2024</t>
  </si>
  <si>
    <t>C068</t>
  </si>
  <si>
    <t>C069</t>
  </si>
  <si>
    <t>16/09/2024</t>
  </si>
  <si>
    <t>C070</t>
  </si>
  <si>
    <t>09/06/2024</t>
  </si>
  <si>
    <t>C071</t>
  </si>
  <si>
    <t>23/04/2024</t>
  </si>
  <si>
    <t>C072</t>
  </si>
  <si>
    <t>C073</t>
  </si>
  <si>
    <t>10/06/2024</t>
  </si>
  <si>
    <t>C074</t>
  </si>
  <si>
    <t>C075</t>
  </si>
  <si>
    <t>27/07/2024</t>
  </si>
  <si>
    <t>C076</t>
  </si>
  <si>
    <t>C077</t>
  </si>
  <si>
    <t>02/03/2024</t>
  </si>
  <si>
    <t>C078</t>
  </si>
  <si>
    <t>16/11/2024</t>
  </si>
  <si>
    <t>C079</t>
  </si>
  <si>
    <t>19/01/2024</t>
  </si>
  <si>
    <t>C080</t>
  </si>
  <si>
    <t>C081</t>
  </si>
  <si>
    <t>05/04/2024</t>
  </si>
  <si>
    <t>C082</t>
  </si>
  <si>
    <t>15/12/2024</t>
  </si>
  <si>
    <t>C083</t>
  </si>
  <si>
    <t>C084</t>
  </si>
  <si>
    <t>C085</t>
  </si>
  <si>
    <t>04/10/2024</t>
  </si>
  <si>
    <t>C086</t>
  </si>
  <si>
    <t>26/05/2024</t>
  </si>
  <si>
    <t>C087</t>
  </si>
  <si>
    <t>12/11/2024</t>
  </si>
  <si>
    <t>C088</t>
  </si>
  <si>
    <t>C089</t>
  </si>
  <si>
    <t>06/05/2024</t>
  </si>
  <si>
    <t>C092</t>
  </si>
  <si>
    <t>29/04/2024</t>
  </si>
  <si>
    <t>C093</t>
  </si>
  <si>
    <t>21/11/2024</t>
  </si>
  <si>
    <t>C094</t>
  </si>
  <si>
    <t>19/02/2024</t>
  </si>
  <si>
    <t>C095</t>
  </si>
  <si>
    <t>30/04/2024</t>
  </si>
  <si>
    <t>C096</t>
  </si>
  <si>
    <t>24/06/2024</t>
  </si>
  <si>
    <t>C097</t>
  </si>
  <si>
    <t>14/05/2024</t>
  </si>
  <si>
    <t>C098</t>
  </si>
  <si>
    <t>19/09/2024</t>
  </si>
  <si>
    <t>C099</t>
  </si>
  <si>
    <t>C100</t>
  </si>
  <si>
    <t>01/07/2024</t>
  </si>
  <si>
    <t>C101</t>
  </si>
  <si>
    <t>10/11/2024</t>
  </si>
  <si>
    <t>C102</t>
  </si>
  <si>
    <t>20/08/2024</t>
  </si>
  <si>
    <t>C103</t>
  </si>
  <si>
    <t>19/05/2024</t>
  </si>
  <si>
    <t>C104</t>
  </si>
  <si>
    <t>24/09/2024</t>
  </si>
  <si>
    <t>C106</t>
  </si>
  <si>
    <t>07/03/2024</t>
  </si>
  <si>
    <t>C107</t>
  </si>
  <si>
    <t>26/09/2024</t>
  </si>
  <si>
    <t>C108</t>
  </si>
  <si>
    <t>08/03/2024</t>
  </si>
  <si>
    <t>C109</t>
  </si>
  <si>
    <t>29/10/2024</t>
  </si>
  <si>
    <t>C110</t>
  </si>
  <si>
    <t>C111</t>
  </si>
  <si>
    <t>14/10/2024</t>
  </si>
  <si>
    <t>C112</t>
  </si>
  <si>
    <t>C113</t>
  </si>
  <si>
    <t>14/03/2024</t>
  </si>
  <si>
    <t>C114</t>
  </si>
  <si>
    <t>C115</t>
  </si>
  <si>
    <t>06/09/2024</t>
  </si>
  <si>
    <t>C116</t>
  </si>
  <si>
    <t>21/10/2024</t>
  </si>
  <si>
    <t>C117</t>
  </si>
  <si>
    <t>09/03/2024</t>
  </si>
  <si>
    <t>C118</t>
  </si>
  <si>
    <t>06/06/2024</t>
  </si>
  <si>
    <t>C119</t>
  </si>
  <si>
    <t>C120</t>
  </si>
  <si>
    <t>10/02/2024</t>
  </si>
  <si>
    <t>C121</t>
  </si>
  <si>
    <t>C122</t>
  </si>
  <si>
    <t>19/12/2024</t>
  </si>
  <si>
    <t>C123</t>
  </si>
  <si>
    <t>18/08/2024</t>
  </si>
  <si>
    <t>C124</t>
  </si>
  <si>
    <t>C125</t>
  </si>
  <si>
    <t>23/09/2024</t>
  </si>
  <si>
    <t>C126</t>
  </si>
  <si>
    <t>30/10/2024</t>
  </si>
  <si>
    <t>C127</t>
  </si>
  <si>
    <t>21/07/2024</t>
  </si>
  <si>
    <t>C128</t>
  </si>
  <si>
    <t>C129</t>
  </si>
  <si>
    <t>10/09/2024</t>
  </si>
  <si>
    <t>C130</t>
  </si>
  <si>
    <t>30/03/2024</t>
  </si>
  <si>
    <t>C131</t>
  </si>
  <si>
    <t>16/02/2024</t>
  </si>
  <si>
    <t>C132</t>
  </si>
  <si>
    <t>C133</t>
  </si>
  <si>
    <t>11/09/2024</t>
  </si>
  <si>
    <t>C134</t>
  </si>
  <si>
    <t>C135</t>
  </si>
  <si>
    <t>04/05/2024</t>
  </si>
  <si>
    <t>C136</t>
  </si>
  <si>
    <t>25/07/2024</t>
  </si>
  <si>
    <t>C137</t>
  </si>
  <si>
    <t>C138</t>
  </si>
  <si>
    <t>C139</t>
  </si>
  <si>
    <t>C140</t>
  </si>
  <si>
    <t>09/07/2024</t>
  </si>
  <si>
    <t>C141</t>
  </si>
  <si>
    <t>05/12/2024</t>
  </si>
  <si>
    <t>C142</t>
  </si>
  <si>
    <t>C143</t>
  </si>
  <si>
    <t>C144</t>
  </si>
  <si>
    <t>C145</t>
  </si>
  <si>
    <t>C146</t>
  </si>
  <si>
    <t>C148</t>
  </si>
  <si>
    <t>12/12/2024</t>
  </si>
  <si>
    <t>C149</t>
  </si>
  <si>
    <t>C150</t>
  </si>
  <si>
    <t>C151</t>
  </si>
  <si>
    <t>01/12/2024</t>
  </si>
  <si>
    <t>C152</t>
  </si>
  <si>
    <t>C153</t>
  </si>
  <si>
    <t>18/07/2024</t>
  </si>
  <si>
    <t>C154</t>
  </si>
  <si>
    <t>C155</t>
  </si>
  <si>
    <t>08/05/2024</t>
  </si>
  <si>
    <t>C156</t>
  </si>
  <si>
    <t>02/08/2024</t>
  </si>
  <si>
    <t>C159</t>
  </si>
  <si>
    <t>C160</t>
  </si>
  <si>
    <t>26/11/2024</t>
  </si>
  <si>
    <t>C161</t>
  </si>
  <si>
    <t>03/06/2024</t>
  </si>
  <si>
    <t>C162</t>
  </si>
  <si>
    <t>C163</t>
  </si>
  <si>
    <t>06/04/2024</t>
  </si>
  <si>
    <t>C164</t>
  </si>
  <si>
    <t>C165</t>
  </si>
  <si>
    <t>05/09/2024</t>
  </si>
  <si>
    <t>C167</t>
  </si>
  <si>
    <t>23/05/2024</t>
  </si>
  <si>
    <t>C168</t>
  </si>
  <si>
    <t>C169</t>
  </si>
  <si>
    <t>C170</t>
  </si>
  <si>
    <t>05/10/2024</t>
  </si>
  <si>
    <t>C171</t>
  </si>
  <si>
    <t>17/09/2024</t>
  </si>
  <si>
    <t>C172</t>
  </si>
  <si>
    <t>C173</t>
  </si>
  <si>
    <t>C175</t>
  </si>
  <si>
    <t>19/03/2024</t>
  </si>
  <si>
    <t>C176</t>
  </si>
  <si>
    <t>C177</t>
  </si>
  <si>
    <t>C178</t>
  </si>
  <si>
    <t>14/11/2024</t>
  </si>
  <si>
    <t>C180</t>
  </si>
  <si>
    <t>C181</t>
  </si>
  <si>
    <t>07/08/2024</t>
  </si>
  <si>
    <t>C182</t>
  </si>
  <si>
    <t>C183</t>
  </si>
  <si>
    <t>C184</t>
  </si>
  <si>
    <t>11/11/2024</t>
  </si>
  <si>
    <t>C185</t>
  </si>
  <si>
    <t>10/08/2024</t>
  </si>
  <si>
    <t>C186</t>
  </si>
  <si>
    <t>C188</t>
  </si>
  <si>
    <t>14/08/2024</t>
  </si>
  <si>
    <t>C189</t>
  </si>
  <si>
    <t>30/06/2024</t>
  </si>
  <si>
    <t>C190</t>
  </si>
  <si>
    <t>C191</t>
  </si>
  <si>
    <t>15/11/2024</t>
  </si>
  <si>
    <t>C192</t>
  </si>
  <si>
    <t>22/09/2024</t>
  </si>
  <si>
    <t>C194</t>
  </si>
  <si>
    <t>08/06/2024</t>
  </si>
  <si>
    <t>C195</t>
  </si>
  <si>
    <t>C196</t>
  </si>
  <si>
    <t>27/02/2024</t>
  </si>
  <si>
    <t>C197</t>
  </si>
  <si>
    <t>22/05/2024</t>
  </si>
  <si>
    <t>C198</t>
  </si>
  <si>
    <t>01/09/2024</t>
  </si>
  <si>
    <t>C199</t>
  </si>
  <si>
    <t>17/05/2024</t>
  </si>
  <si>
    <t>C200</t>
  </si>
  <si>
    <t>20/10/2024</t>
  </si>
  <si>
    <t>C201</t>
  </si>
  <si>
    <t>C202</t>
  </si>
  <si>
    <t>21/06/2024</t>
  </si>
  <si>
    <t>C203</t>
  </si>
  <si>
    <t>C204</t>
  </si>
  <si>
    <t>C205</t>
  </si>
  <si>
    <t>C206</t>
  </si>
  <si>
    <t>16/04/2024</t>
  </si>
  <si>
    <t>C207</t>
  </si>
  <si>
    <t>27/05/2024</t>
  </si>
  <si>
    <t>C208</t>
  </si>
  <si>
    <t>C209</t>
  </si>
  <si>
    <t>03/04/2024</t>
  </si>
  <si>
    <t>C210</t>
  </si>
  <si>
    <t>C211</t>
  </si>
  <si>
    <t>14/09/2024</t>
  </si>
  <si>
    <t>C212</t>
  </si>
  <si>
    <t>04/08/2024</t>
  </si>
  <si>
    <t>C214</t>
  </si>
  <si>
    <t>C215</t>
  </si>
  <si>
    <t>C216</t>
  </si>
  <si>
    <t>03/05/2024</t>
  </si>
  <si>
    <t>C217</t>
  </si>
  <si>
    <t>C218</t>
  </si>
  <si>
    <t>15/09/2024</t>
  </si>
  <si>
    <t>C219</t>
  </si>
  <si>
    <t>C220</t>
  </si>
  <si>
    <t>C221</t>
  </si>
  <si>
    <t>C222</t>
  </si>
  <si>
    <t>C224</t>
  </si>
  <si>
    <t>C225</t>
  </si>
  <si>
    <t>C226</t>
  </si>
  <si>
    <t>01/11/2024</t>
  </si>
  <si>
    <t>C227</t>
  </si>
  <si>
    <t>C228</t>
  </si>
  <si>
    <t>02/09/2024</t>
  </si>
  <si>
    <t>C229</t>
  </si>
  <si>
    <t>C230</t>
  </si>
  <si>
    <t>C231</t>
  </si>
  <si>
    <t>C232</t>
  </si>
  <si>
    <t>C233</t>
  </si>
  <si>
    <t>C234</t>
  </si>
  <si>
    <t>C235</t>
  </si>
  <si>
    <t>C236</t>
  </si>
  <si>
    <t>C237</t>
  </si>
  <si>
    <t>19/11/2024</t>
  </si>
  <si>
    <t>C238</t>
  </si>
  <si>
    <t>C239</t>
  </si>
  <si>
    <t>16/12/2024</t>
  </si>
  <si>
    <t>C240</t>
  </si>
  <si>
    <t>C241</t>
  </si>
  <si>
    <t>C242</t>
  </si>
  <si>
    <t>C243</t>
  </si>
  <si>
    <t>27/10/2024</t>
  </si>
  <si>
    <t>C244</t>
  </si>
  <si>
    <t>26/03/2024</t>
  </si>
  <si>
    <t>C246</t>
  </si>
  <si>
    <t>16/03/2024</t>
  </si>
  <si>
    <t>C247</t>
  </si>
  <si>
    <t>C248</t>
  </si>
  <si>
    <t>C251</t>
  </si>
  <si>
    <t>C252</t>
  </si>
  <si>
    <t>C253</t>
  </si>
  <si>
    <t>C254</t>
  </si>
  <si>
    <t>C256</t>
  </si>
  <si>
    <t>C257</t>
  </si>
  <si>
    <t>C258</t>
  </si>
  <si>
    <t>C259</t>
  </si>
  <si>
    <t>15/07/2024</t>
  </si>
  <si>
    <t>C260</t>
  </si>
  <si>
    <t>C261</t>
  </si>
  <si>
    <t>C262</t>
  </si>
  <si>
    <t>21/09/2024</t>
  </si>
  <si>
    <t>C264</t>
  </si>
  <si>
    <t>20/12/2024</t>
  </si>
  <si>
    <t>C265</t>
  </si>
  <si>
    <t>C266</t>
  </si>
  <si>
    <t>05/07/2024</t>
  </si>
  <si>
    <t>C267</t>
  </si>
  <si>
    <t>C268</t>
  </si>
  <si>
    <t>C269</t>
  </si>
  <si>
    <t>01/02/2024</t>
  </si>
  <si>
    <t>C270</t>
  </si>
  <si>
    <t>C271</t>
  </si>
  <si>
    <t>14/04/2024</t>
  </si>
  <si>
    <t>C272</t>
  </si>
  <si>
    <t>C273</t>
  </si>
  <si>
    <t>C274</t>
  </si>
  <si>
    <t>C275</t>
  </si>
  <si>
    <t>18/02/2024</t>
  </si>
  <si>
    <t>C276</t>
  </si>
  <si>
    <t>C277</t>
  </si>
  <si>
    <t>C278</t>
  </si>
  <si>
    <t>C279</t>
  </si>
  <si>
    <t>C280</t>
  </si>
  <si>
    <t>C281</t>
  </si>
  <si>
    <t>C282</t>
  </si>
  <si>
    <t>C283</t>
  </si>
  <si>
    <t>C284</t>
  </si>
  <si>
    <t>27/08/2024</t>
  </si>
  <si>
    <t>C285</t>
  </si>
  <si>
    <t>C286</t>
  </si>
  <si>
    <t>14/12/2024</t>
  </si>
  <si>
    <t>C287</t>
  </si>
  <si>
    <t>C288</t>
  </si>
  <si>
    <t>C290</t>
  </si>
  <si>
    <t>C291</t>
  </si>
  <si>
    <t>C292</t>
  </si>
  <si>
    <t>C293</t>
  </si>
  <si>
    <t>C295</t>
  </si>
  <si>
    <t>C296</t>
  </si>
  <si>
    <t>18/09/2024</t>
  </si>
  <si>
    <t>C297</t>
  </si>
  <si>
    <t>C298</t>
  </si>
  <si>
    <t>07/06/2024</t>
  </si>
  <si>
    <t>C299</t>
  </si>
  <si>
    <t>C300</t>
  </si>
  <si>
    <t>C302</t>
  </si>
  <si>
    <t>03/11/2024</t>
  </si>
  <si>
    <t>C303</t>
  </si>
  <si>
    <t>07/04/2024</t>
  </si>
  <si>
    <t>C304</t>
  </si>
  <si>
    <t>C306</t>
  </si>
  <si>
    <t>07/02/2024</t>
  </si>
  <si>
    <t>C307</t>
  </si>
  <si>
    <t>25/08/2024</t>
  </si>
  <si>
    <t>C308</t>
  </si>
  <si>
    <t>C310</t>
  </si>
  <si>
    <t>C311</t>
  </si>
  <si>
    <t>11/10/2024</t>
  </si>
  <si>
    <t>C312</t>
  </si>
  <si>
    <t>C313</t>
  </si>
  <si>
    <t>C314</t>
  </si>
  <si>
    <t>C315</t>
  </si>
  <si>
    <t>C316</t>
  </si>
  <si>
    <t>TABLA DE DATOS</t>
  </si>
  <si>
    <t>Mes</t>
  </si>
  <si>
    <t>Ventas ($)</t>
  </si>
  <si>
    <t>Enero</t>
  </si>
  <si>
    <t>Febrero</t>
  </si>
  <si>
    <t>Marzo</t>
  </si>
  <si>
    <t>Abril</t>
  </si>
  <si>
    <t>Mayo</t>
  </si>
  <si>
    <t>Junio</t>
  </si>
  <si>
    <t>A. ESTADÍSTICAS DESCRIPTIVAS</t>
  </si>
  <si>
    <t>Medida</t>
  </si>
  <si>
    <t>Fórmula (Excel español)</t>
  </si>
  <si>
    <t>Resultado</t>
  </si>
  <si>
    <t>Promedio</t>
  </si>
  <si>
    <t>=PROMEDIO(C6:C11)</t>
  </si>
  <si>
    <t>Mediana</t>
  </si>
  <si>
    <t>=MEDIANA(C6:C11)</t>
  </si>
  <si>
    <t>Desviación Estándar</t>
  </si>
  <si>
    <t>=DESVEST(C6:C11)</t>
  </si>
  <si>
    <t>Varianza</t>
  </si>
  <si>
    <t>=VAR(C6:C11)</t>
  </si>
  <si>
    <t>Mínimo</t>
  </si>
  <si>
    <t>=MIN(C6:C11)</t>
  </si>
  <si>
    <t>Máximo</t>
  </si>
  <si>
    <t>=MAX(C6:C11)</t>
  </si>
  <si>
    <t>C. MES CON MAYORES Y MENORES VENTAS</t>
  </si>
  <si>
    <t>Indicador</t>
  </si>
  <si>
    <t>Mes con MAYORES ventas</t>
  </si>
  <si>
    <t>=INDICE(B6:B11,COINCIDIR(MAX(C6:C11),C6:C11,0))</t>
  </si>
  <si>
    <t>Valor máximo ($)</t>
  </si>
  <si>
    <t>Mes con MENORES ventas</t>
  </si>
  <si>
    <t>=INDICE(B6:B11,COINCIDIR(MIN(C6:C11),C6:C11,0))</t>
  </si>
  <si>
    <t>Valor mínimo ($)</t>
  </si>
  <si>
    <t>A. Calcula el promedio, mediana y desviación estándar de las ventas.</t>
  </si>
  <si>
    <t>B. Crea un gráfico de línea que muestre la tendencia de ventas.</t>
  </si>
  <si>
    <t>Categoría</t>
  </si>
  <si>
    <t>Región</t>
  </si>
  <si>
    <t>Audífonos Bluetooth</t>
  </si>
  <si>
    <t>Tecnología</t>
  </si>
  <si>
    <t>Webcam Full HD</t>
  </si>
  <si>
    <t>PowerBank 20000mAh</t>
  </si>
  <si>
    <t>01/05/2024</t>
  </si>
  <si>
    <t>Router WiFi 6</t>
  </si>
  <si>
    <t>Xiaomi Redmi 13</t>
  </si>
  <si>
    <t>Telefonía</t>
  </si>
  <si>
    <t>Tablet Samsung</t>
  </si>
  <si>
    <t>Gabinete ATX Corsair</t>
  </si>
  <si>
    <t>Cómputo</t>
  </si>
  <si>
    <t>Soporte Monitor</t>
  </si>
  <si>
    <t>Laptop HP</t>
  </si>
  <si>
    <t>02/02/2024</t>
  </si>
  <si>
    <t>Monitor 24"</t>
  </si>
  <si>
    <t>C249</t>
  </si>
  <si>
    <t>Funda iPhone 15</t>
  </si>
  <si>
    <t>Fuente Poder 750W</t>
  </si>
  <si>
    <t>iPhone 15</t>
  </si>
  <si>
    <t>Funda Laptop 15"</t>
  </si>
  <si>
    <t>C301</t>
  </si>
  <si>
    <t>03/03/2024</t>
  </si>
  <si>
    <t>Protector Pantalla</t>
  </si>
  <si>
    <t>Disco SSD 1TB</t>
  </si>
  <si>
    <t>Tarjeta Gráfica RTX</t>
  </si>
  <si>
    <t>PC Escritorio Gamer</t>
  </si>
  <si>
    <t>Cargador Universal</t>
  </si>
  <si>
    <t>Cable USB</t>
  </si>
  <si>
    <t>Mini PC Intel NUC</t>
  </si>
  <si>
    <t>05/05/2024</t>
  </si>
  <si>
    <t>Memoria RAM 16GB</t>
  </si>
  <si>
    <t>06/02/2024</t>
  </si>
  <si>
    <t>Pad Mouse XL</t>
  </si>
  <si>
    <t>06/08/2024</t>
  </si>
  <si>
    <t>Mouse Gaming</t>
  </si>
  <si>
    <t>Monitor 27" 4K</t>
  </si>
  <si>
    <t>C289</t>
  </si>
  <si>
    <t>Laptop Dell XPS</t>
  </si>
  <si>
    <t>C091</t>
  </si>
  <si>
    <t>Huawei P60</t>
  </si>
  <si>
    <t>07/05/2024</t>
  </si>
  <si>
    <t>C058</t>
  </si>
  <si>
    <t>C245</t>
  </si>
  <si>
    <t>07/12/2024</t>
  </si>
  <si>
    <t>Hub USB-C 7 en 1</t>
  </si>
  <si>
    <t>09/04/2024</t>
  </si>
  <si>
    <t>Impresora HP</t>
  </si>
  <si>
    <t>Samsung Galaxy S24</t>
  </si>
  <si>
    <t>09/10/2024</t>
  </si>
  <si>
    <t>Organizador Cables</t>
  </si>
  <si>
    <t>11/08/2024</t>
  </si>
  <si>
    <t>C105</t>
  </si>
  <si>
    <t>12/08/2024</t>
  </si>
  <si>
    <t>C213</t>
  </si>
  <si>
    <t>C263</t>
  </si>
  <si>
    <t>14/02/2024</t>
  </si>
  <si>
    <t>15/05/2024</t>
  </si>
  <si>
    <t>15/06/2024</t>
  </si>
  <si>
    <t>C174</t>
  </si>
  <si>
    <t>C147</t>
  </si>
  <si>
    <t>C166</t>
  </si>
  <si>
    <t>Teclado Mecánico</t>
  </si>
  <si>
    <t>17/07/2024</t>
  </si>
  <si>
    <t>18/01/2024</t>
  </si>
  <si>
    <t>C034</t>
  </si>
  <si>
    <t>18/04/2024</t>
  </si>
  <si>
    <t>C158</t>
  </si>
  <si>
    <t>18/06/2024</t>
  </si>
  <si>
    <t>18/10/2024</t>
  </si>
  <si>
    <t>C007</t>
  </si>
  <si>
    <t>19/07/2024</t>
  </si>
  <si>
    <t>19/08/2024</t>
  </si>
  <si>
    <t>C062</t>
  </si>
  <si>
    <t>22/03/2024</t>
  </si>
  <si>
    <t>C294</t>
  </si>
  <si>
    <t>22/04/2024</t>
  </si>
  <si>
    <t>C250</t>
  </si>
  <si>
    <t>22/07/2024</t>
  </si>
  <si>
    <t>C223</t>
  </si>
  <si>
    <t>23/10/2024</t>
  </si>
  <si>
    <t>24/03/2024</t>
  </si>
  <si>
    <t>C309</t>
  </si>
  <si>
    <t>24/04/2024</t>
  </si>
  <si>
    <t>C305</t>
  </si>
  <si>
    <t>24/05/2024</t>
  </si>
  <si>
    <t>26/06/2024</t>
  </si>
  <si>
    <t>27/09/2024</t>
  </si>
  <si>
    <t>28/01/2024</t>
  </si>
  <si>
    <t>29/01/2024</t>
  </si>
  <si>
    <t>29/02/2024</t>
  </si>
  <si>
    <t>29/06/2024</t>
  </si>
  <si>
    <t>29/09/2024</t>
  </si>
  <si>
    <t>C051</t>
  </si>
  <si>
    <t>30/09/2024</t>
  </si>
  <si>
    <t>ID_Venta</t>
  </si>
  <si>
    <t>ID_Producto</t>
  </si>
  <si>
    <t>Cantidad</t>
  </si>
  <si>
    <t>V001</t>
  </si>
  <si>
    <t>P001</t>
  </si>
  <si>
    <t>2024-01-05</t>
  </si>
  <si>
    <t>V002</t>
  </si>
  <si>
    <t>P002</t>
  </si>
  <si>
    <t>2024-01-07</t>
  </si>
  <si>
    <t>V003</t>
  </si>
  <si>
    <t>P003</t>
  </si>
  <si>
    <t>2024-01-10</t>
  </si>
  <si>
    <t>V004</t>
  </si>
  <si>
    <t>P004</t>
  </si>
  <si>
    <t>2024-01-12</t>
  </si>
  <si>
    <t>V005</t>
  </si>
  <si>
    <t>P005</t>
  </si>
  <si>
    <t>2024-01-15</t>
  </si>
  <si>
    <t>V006</t>
  </si>
  <si>
    <t>2024-01-18</t>
  </si>
  <si>
    <t>V007</t>
  </si>
  <si>
    <t>P006</t>
  </si>
  <si>
    <t>2024-01-20</t>
  </si>
  <si>
    <t>V008</t>
  </si>
  <si>
    <t>2024-01-22</t>
  </si>
  <si>
    <t>V009</t>
  </si>
  <si>
    <t>P007</t>
  </si>
  <si>
    <t>2024-01-25</t>
  </si>
  <si>
    <t>V010</t>
  </si>
  <si>
    <t>2024-01-28</t>
  </si>
  <si>
    <t>V011</t>
  </si>
  <si>
    <t>P008</t>
  </si>
  <si>
    <t>2024-02-01</t>
  </si>
  <si>
    <t>V012</t>
  </si>
  <si>
    <t>2024-02-03</t>
  </si>
  <si>
    <t>V013</t>
  </si>
  <si>
    <t>2024-02-06</t>
  </si>
  <si>
    <t>V014</t>
  </si>
  <si>
    <t>P009</t>
  </si>
  <si>
    <t>2024-02-08</t>
  </si>
  <si>
    <t>V015</t>
  </si>
  <si>
    <t>P010</t>
  </si>
  <si>
    <t>2024-02-10</t>
  </si>
  <si>
    <t>V016</t>
  </si>
  <si>
    <t>2024-02-14</t>
  </si>
  <si>
    <t>V017</t>
  </si>
  <si>
    <t>2024-02-18</t>
  </si>
  <si>
    <t>V018</t>
  </si>
  <si>
    <t>2024-02-20</t>
  </si>
  <si>
    <t>V019</t>
  </si>
  <si>
    <t>2024-02-22</t>
  </si>
  <si>
    <t>V020</t>
  </si>
  <si>
    <t>2024-02-25</t>
  </si>
  <si>
    <t>Tabla 1: Ventas (ID_Producto, Fecha, Cantidad, Monto)</t>
  </si>
  <si>
    <t>Nombre</t>
  </si>
  <si>
    <t>Precio_Unitario</t>
  </si>
  <si>
    <t>Costo_Unitario</t>
  </si>
  <si>
    <t>Computación</t>
  </si>
  <si>
    <t>Periféricos</t>
  </si>
  <si>
    <t>Tablet Samsung Pro</t>
  </si>
  <si>
    <t>Tabla 2: Productos (ID_Producto, Nombre, Categoría, Precio_Unitario)</t>
  </si>
  <si>
    <t>¿Cómo relacionarías estas tablas en Power Pivot?</t>
  </si>
  <si>
    <t>El problema es que en Ventas solo guardas el código del producto (P001, P002...), no el nombre ni el precio. Power Pivot necesita saber cómo unirlas.</t>
  </si>
  <si>
    <t>El proceso en 3 pasos simples</t>
  </si>
  <si>
    <r>
      <t>1. Cargar las tablas</t>
    </r>
    <r>
      <rPr>
        <sz val="12"/>
        <color theme="1"/>
        <rFont val="Calibri"/>
        <family val="2"/>
        <scheme val="minor"/>
      </rPr>
      <t xml:space="preserve"> Seleccionas tu tabla de Ventas → clic en </t>
    </r>
    <r>
      <rPr>
        <i/>
        <sz val="12"/>
        <color theme="1"/>
        <rFont val="Calibri"/>
        <family val="2"/>
        <scheme val="minor"/>
      </rPr>
      <t>"Agregar al modelo de datos"</t>
    </r>
    <r>
      <rPr>
        <sz val="12"/>
        <color theme="1"/>
        <rFont val="Calibri"/>
        <family val="2"/>
        <scheme val="minor"/>
      </rPr>
      <t>. Repites con Productos.</t>
    </r>
  </si>
  <si>
    <r>
      <t>2. Ir al diagrama</t>
    </r>
    <r>
      <rPr>
        <sz val="12"/>
        <color theme="1"/>
        <rFont val="Calibri"/>
        <family val="2"/>
        <scheme val="minor"/>
      </rPr>
      <t xml:space="preserve"> Dentro de Power Pivot, cambias a </t>
    </r>
    <r>
      <rPr>
        <i/>
        <sz val="12"/>
        <color theme="1"/>
        <rFont val="Calibri"/>
        <family val="2"/>
        <scheme val="minor"/>
      </rPr>
      <t>"Vista de diagrama"</t>
    </r>
    <r>
      <rPr>
        <sz val="12"/>
        <color theme="1"/>
        <rFont val="Calibri"/>
        <family val="2"/>
        <scheme val="minor"/>
      </rPr>
      <t xml:space="preserve"> y ves las dos tablas como cajitas.</t>
    </r>
  </si>
  <si>
    <r>
      <t>3. Arrastrar el campo en común</t>
    </r>
    <r>
      <rPr>
        <sz val="12"/>
        <color theme="1"/>
        <rFont val="Calibri"/>
        <family val="2"/>
        <scheme val="minor"/>
      </rPr>
      <t xml:space="preserve"> Tomas </t>
    </r>
    <r>
      <rPr>
        <sz val="10"/>
        <color theme="1"/>
        <rFont val="Arial Unicode MS"/>
      </rPr>
      <t>ID_Producto</t>
    </r>
    <r>
      <rPr>
        <sz val="12"/>
        <color theme="1"/>
        <rFont val="Calibri"/>
        <family val="2"/>
        <scheme val="minor"/>
      </rPr>
      <t xml:space="preserve"> de la tabla Ventas y lo arrastras encima de </t>
    </r>
    <r>
      <rPr>
        <sz val="10"/>
        <color theme="1"/>
        <rFont val="Arial Unicode MS"/>
      </rPr>
      <t>ID_Producto</t>
    </r>
    <r>
      <rPr>
        <sz val="12"/>
        <color theme="1"/>
        <rFont val="Calibri"/>
        <family val="2"/>
        <scheme val="minor"/>
      </rPr>
      <t xml:space="preserve"> de Productos. Se dibuja una línea entre las dos tablas. Eso es todo.</t>
    </r>
  </si>
  <si>
    <r>
      <rPr>
        <b/>
        <sz val="12"/>
        <color theme="1"/>
        <rFont val="Calibri"/>
        <family val="2"/>
        <scheme val="minor"/>
      </rPr>
      <t xml:space="preserve">Ventas </t>
    </r>
    <r>
      <rPr>
        <sz val="12"/>
        <color theme="1"/>
        <rFont val="Calibri"/>
        <family val="2"/>
        <scheme val="minor"/>
      </rPr>
      <t xml:space="preserve">— cada vez que alguien compró algo </t>
    </r>
  </si>
  <si>
    <r>
      <rPr>
        <b/>
        <sz val="12"/>
        <color theme="1"/>
        <rFont val="Calibri"/>
        <family val="2"/>
        <scheme val="minor"/>
      </rPr>
      <t>Productos</t>
    </r>
    <r>
      <rPr>
        <sz val="12"/>
        <color theme="1"/>
        <rFont val="Calibri"/>
        <family val="2"/>
        <scheme val="minor"/>
      </rPr>
      <t xml:space="preserve"> — la ficha de cada producto </t>
    </r>
  </si>
  <si>
    <t>¿Qué logras con eso?</t>
  </si>
  <si>
    <r>
      <t xml:space="preserve">Que Power Pivot sepa que cuando ve </t>
    </r>
    <r>
      <rPr>
        <sz val="10"/>
        <color theme="1"/>
        <rFont val="Arial Unicode MS"/>
      </rPr>
      <t>P001</t>
    </r>
    <r>
      <rPr>
        <sz val="12"/>
        <color theme="1"/>
        <rFont val="Calibri"/>
        <family val="2"/>
        <scheme val="minor"/>
      </rPr>
      <t xml:space="preserve"> en Ventas, debe ir a buscar el nombre, la categoría y el precio a la tabla Productos. Sin necesidad de escribir ningún VLOOKUP.</t>
    </r>
  </si>
  <si>
    <t>A partir de ese momento puedes crear medidas que usen datos de las dos tablas al mismo tiempo, como calcular el margen de ganancia multiplicando la cantidad vendida (que está en Ventas) por el precio (que está en Productos).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</si>
</sst>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0.00"/>
  </numFmts>
  <fonts count="12"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1"/>
      <color rgb="FF000000"/>
      <name val="Arial"/>
    </font>
    <font>
      <b/>
      <sz val="11"/>
      <color theme="1"/>
      <name val="Arial"/>
    </font>
    <font>
      <sz val="11"/>
      <color theme="1"/>
      <name val="Arial"/>
    </font>
    <font>
      <i/>
      <sz val="10"/>
      <color theme="1"/>
      <name val="Arial"/>
    </font>
    <font>
      <sz val="10"/>
      <name val="Arial"/>
    </font>
    <font>
      <sz val="10"/>
      <color theme="1"/>
      <name val="Arial"/>
    </font>
    <font>
      <i/>
      <sz val="12"/>
      <color theme="1"/>
      <name val="Calibri"/>
      <family val="2"/>
      <scheme val="minor"/>
    </font>
    <font>
      <sz val="10"/>
      <color theme="1"/>
      <name val="Arial Unicode MS"/>
    </font>
  </fonts>
  <fills count="13">
    <fill>
      <patternFill patternType="none"/>
    </fill>
    <fill>
      <patternFill patternType="gray125"/>
    </fill>
    <fill>
      <patternFill patternType="solid">
        <fgColor theme="0"/>
        <bgColor indexed="64"/>
      </patternFill>
    </fill>
    <fill>
      <patternFill patternType="solid">
        <fgColor theme="0"/>
        <bgColor rgb="FF0066CC"/>
      </patternFill>
    </fill>
    <fill>
      <patternFill patternType="solid">
        <fgColor theme="0"/>
        <bgColor rgb="FFFEF9E7"/>
      </patternFill>
    </fill>
    <fill>
      <patternFill patternType="solid">
        <fgColor theme="0"/>
        <bgColor rgb="FFD9D9D9"/>
      </patternFill>
    </fill>
    <fill>
      <patternFill patternType="solid">
        <fgColor theme="0"/>
        <bgColor rgb="FF008080"/>
      </patternFill>
    </fill>
    <fill>
      <patternFill patternType="solid">
        <fgColor theme="0"/>
        <bgColor rgb="FFD6E4F0"/>
      </patternFill>
    </fill>
    <fill>
      <patternFill patternType="solid">
        <fgColor theme="0"/>
        <bgColor rgb="FFFFFFFF"/>
      </patternFill>
    </fill>
    <fill>
      <patternFill patternType="solid">
        <fgColor rgb="FFFFFFFF"/>
        <bgColor rgb="FF000000"/>
      </patternFill>
    </fill>
    <fill>
      <patternFill patternType="solid">
        <fgColor theme="0"/>
        <bgColor rgb="FFEAF2FB"/>
      </patternFill>
    </fill>
    <fill>
      <patternFill patternType="solid">
        <fgColor theme="0"/>
        <bgColor theme="1"/>
      </patternFill>
    </fill>
    <fill>
      <patternFill patternType="solid">
        <fgColor theme="0"/>
        <bgColor rgb="FF1F38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auto="1"/>
      </left>
      <right/>
      <top/>
      <bottom/>
      <diagonal/>
    </border>
    <border>
      <left style="thin">
        <color theme="1"/>
      </left>
      <right style="thin">
        <color theme="1"/>
      </right>
      <top style="thin">
        <color theme="1"/>
      </top>
      <bottom style="thin">
        <color theme="1"/>
      </bottom>
      <diagonal/>
    </border>
  </borders>
  <cellStyleXfs count="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8">
    <xf numFmtId="0" fontId="0" fillId="0" borderId="0" xfId="0"/>
    <xf numFmtId="0" fontId="0" fillId="2" borderId="0" xfId="0" applyFont="1" applyFill="1"/>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3" fontId="6" fillId="5" borderId="1" xfId="0" applyNumberFormat="1" applyFont="1" applyFill="1" applyBorder="1" applyAlignment="1">
      <alignment horizontal="center" vertical="center" wrapText="1"/>
    </xf>
    <xf numFmtId="0" fontId="5" fillId="4" borderId="1" xfId="0" applyFont="1" applyFill="1" applyBorder="1" applyAlignment="1">
      <alignment horizontal="left" vertical="center"/>
    </xf>
    <xf numFmtId="0" fontId="7" fillId="4" borderId="1" xfId="0" applyFont="1" applyFill="1" applyBorder="1" applyAlignment="1">
      <alignment horizontal="center" vertical="center" wrapText="1"/>
    </xf>
    <xf numFmtId="4" fontId="5" fillId="4" borderId="1" xfId="0" applyNumberFormat="1" applyFont="1" applyFill="1" applyBorder="1" applyAlignment="1">
      <alignment horizontal="center" vertical="center" wrapText="1"/>
    </xf>
    <xf numFmtId="0" fontId="5" fillId="7" borderId="1" xfId="0" applyFont="1" applyFill="1" applyBorder="1" applyAlignment="1">
      <alignment horizontal="left" vertical="center"/>
    </xf>
    <xf numFmtId="0" fontId="7" fillId="7" borderId="1" xfId="0" applyFont="1" applyFill="1" applyBorder="1" applyAlignment="1">
      <alignment horizontal="center" vertical="center" wrapText="1"/>
    </xf>
    <xf numFmtId="4" fontId="5" fillId="7" borderId="1" xfId="0" applyNumberFormat="1" applyFont="1" applyFill="1" applyBorder="1" applyAlignment="1">
      <alignment horizontal="center" vertical="center" wrapText="1"/>
    </xf>
    <xf numFmtId="0" fontId="5" fillId="8" borderId="1" xfId="0" applyFont="1" applyFill="1" applyBorder="1" applyAlignment="1">
      <alignment horizontal="left" vertical="center"/>
    </xf>
    <xf numFmtId="0" fontId="7" fillId="8" borderId="1" xfId="0" applyFont="1" applyFill="1" applyBorder="1" applyAlignment="1">
      <alignment horizontal="center" vertical="center" wrapText="1"/>
    </xf>
    <xf numFmtId="49" fontId="5" fillId="8" borderId="1" xfId="0" applyNumberFormat="1" applyFont="1" applyFill="1" applyBorder="1" applyAlignment="1">
      <alignment horizontal="center" vertical="center" wrapText="1"/>
    </xf>
    <xf numFmtId="3" fontId="5" fillId="8" borderId="1" xfId="0" applyNumberFormat="1" applyFont="1" applyFill="1" applyBorder="1" applyAlignment="1">
      <alignment horizontal="center" vertical="center" wrapText="1"/>
    </xf>
    <xf numFmtId="0" fontId="5" fillId="5" borderId="1" xfId="0" applyFont="1" applyFill="1" applyBorder="1" applyAlignment="1">
      <alignment horizontal="left" vertical="center"/>
    </xf>
    <xf numFmtId="0" fontId="7" fillId="5" borderId="1" xfId="0"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0" fontId="1" fillId="2" borderId="0" xfId="0" applyFont="1" applyFill="1"/>
    <xf numFmtId="0" fontId="0" fillId="2" borderId="0" xfId="0" applyFill="1"/>
    <xf numFmtId="0" fontId="4" fillId="4" borderId="1" xfId="0"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0" fontId="1" fillId="0" borderId="0" xfId="0" applyFont="1"/>
    <xf numFmtId="0" fontId="5" fillId="2" borderId="2" xfId="0" applyFont="1" applyFill="1" applyBorder="1" applyAlignment="1">
      <alignment horizontal="center" vertical="center"/>
    </xf>
    <xf numFmtId="0" fontId="8" fillId="2" borderId="3" xfId="0" applyFont="1" applyFill="1" applyBorder="1" applyAlignment="1">
      <alignment horizontal="center"/>
    </xf>
    <xf numFmtId="0" fontId="8" fillId="2" borderId="3" xfId="0" applyFont="1" applyFill="1" applyBorder="1" applyAlignment="1">
      <alignment horizontal="left"/>
    </xf>
    <xf numFmtId="4" fontId="8" fillId="2" borderId="3" xfId="0" applyNumberFormat="1" applyFont="1" applyFill="1" applyBorder="1" applyAlignment="1">
      <alignment horizontal="right"/>
    </xf>
    <xf numFmtId="3" fontId="8" fillId="2" borderId="3" xfId="0" applyNumberFormat="1" applyFont="1" applyFill="1" applyBorder="1" applyAlignment="1">
      <alignment horizontal="right"/>
    </xf>
    <xf numFmtId="0" fontId="8" fillId="9" borderId="3" xfId="0" applyFont="1" applyFill="1" applyBorder="1" applyAlignment="1">
      <alignment horizontal="left"/>
    </xf>
    <xf numFmtId="0" fontId="0" fillId="2" borderId="0" xfId="0" applyFont="1" applyFill="1" applyBorder="1" applyAlignment="1"/>
    <xf numFmtId="0" fontId="0" fillId="2" borderId="5" xfId="0" applyFont="1" applyFill="1" applyBorder="1" applyAlignment="1"/>
    <xf numFmtId="0" fontId="5" fillId="11" borderId="4" xfId="0" applyFont="1" applyFill="1" applyBorder="1" applyAlignment="1">
      <alignment horizontal="center" vertical="center"/>
    </xf>
    <xf numFmtId="0" fontId="9" fillId="11" borderId="4" xfId="0" applyFont="1" applyFill="1" applyBorder="1" applyAlignment="1">
      <alignment horizontal="center" vertical="center"/>
    </xf>
    <xf numFmtId="164" fontId="9" fillId="11" borderId="4" xfId="0" applyNumberFormat="1" applyFont="1" applyFill="1" applyBorder="1" applyAlignment="1">
      <alignment horizontal="center" vertical="center"/>
    </xf>
    <xf numFmtId="3" fontId="9" fillId="11" borderId="4" xfId="0" applyNumberFormat="1" applyFont="1" applyFill="1" applyBorder="1" applyAlignment="1">
      <alignment horizontal="right" vertical="center"/>
    </xf>
    <xf numFmtId="165" fontId="9" fillId="11" borderId="4" xfId="0" applyNumberFormat="1" applyFont="1" applyFill="1" applyBorder="1" applyAlignment="1">
      <alignment horizontal="right" vertical="center"/>
    </xf>
    <xf numFmtId="0" fontId="1" fillId="2" borderId="5" xfId="0" applyFont="1" applyFill="1" applyBorder="1" applyAlignment="1"/>
    <xf numFmtId="0" fontId="1" fillId="2" borderId="0" xfId="0" applyFont="1" applyFill="1" applyBorder="1" applyAlignment="1"/>
    <xf numFmtId="0" fontId="5" fillId="12" borderId="6" xfId="0" applyFont="1" applyFill="1" applyBorder="1" applyAlignment="1">
      <alignment horizontal="center" vertical="center"/>
    </xf>
    <xf numFmtId="0" fontId="9" fillId="10" borderId="6" xfId="0" applyFont="1" applyFill="1" applyBorder="1" applyAlignment="1">
      <alignment horizontal="left" vertical="center"/>
    </xf>
    <xf numFmtId="165" fontId="9" fillId="10" borderId="6" xfId="0" applyNumberFormat="1" applyFont="1" applyFill="1" applyBorder="1" applyAlignment="1">
      <alignment horizontal="right" vertical="center"/>
    </xf>
    <xf numFmtId="0" fontId="5"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7">
    <cellStyle name="Hipervínculo" xfId="1" builtinId="8" hidden="1"/>
    <cellStyle name="Hipervínculo" xfId="3" builtinId="8" hidden="1"/>
    <cellStyle name="Hipervínculo" xfId="5" builtinId="8" hidden="1"/>
    <cellStyle name="Hipervínculo visitado" xfId="2" builtinId="9" hidden="1"/>
    <cellStyle name="Hipervínculo visitado" xfId="4" builtinId="9" hidden="1"/>
    <cellStyle name="Hipervínculo visitado" xfId="6" builtinId="9"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externalLink" Target="externalLinks/externalLink1.xml"/><Relationship Id="rId6" Type="http://schemas.openxmlformats.org/officeDocument/2006/relationships/theme" Target="theme/theme1.xml"/><Relationship Id="rId7" Type="http://schemas.openxmlformats.org/officeDocument/2006/relationships/connections" Target="connections.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CL"/>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rot="0"/>
          <a:lstStyle/>
          <a:p>
            <a:pPr>
              <a:defRPr sz="1800" b="1" strike="noStrike" spc="-1">
                <a:solidFill>
                  <a:srgbClr val="000000"/>
                </a:solidFill>
                <a:latin typeface="Calibri"/>
              </a:defRPr>
            </a:pPr>
            <a:r>
              <a:rPr lang="es-ES_tradnl" sz="1800" b="1" strike="noStrike" spc="-1">
                <a:solidFill>
                  <a:srgbClr val="000000"/>
                </a:solidFill>
                <a:latin typeface="Calibri"/>
              </a:rPr>
              <a:t>Tendencia de Ventas Mensuales</a:t>
            </a:r>
          </a:p>
        </c:rich>
      </c:tx>
      <c:layout/>
      <c:overlay val="0"/>
      <c:spPr>
        <a:noFill/>
        <a:ln w="0">
          <a:noFill/>
        </a:ln>
      </c:spPr>
    </c:title>
    <c:autoTitleDeleted val="0"/>
    <c:plotArea>
      <c:layout/>
      <c:lineChart>
        <c:grouping val="standard"/>
        <c:varyColors val="0"/>
        <c:ser>
          <c:idx val="0"/>
          <c:order val="0"/>
          <c:tx>
            <c:strRef>
              <c:f>'[1]B. Gráfico de Tendencia'!$C$3</c:f>
              <c:strCache>
                <c:ptCount val="1"/>
                <c:pt idx="0">
                  <c:v>Ventas ($)</c:v>
                </c:pt>
              </c:strCache>
            </c:strRef>
          </c:tx>
          <c:spPr>
            <a:ln w="24840">
              <a:solidFill>
                <a:srgbClr val="2E75B6"/>
              </a:solidFill>
              <a:round/>
            </a:ln>
          </c:spPr>
          <c:marker>
            <c:symbol val="circle"/>
            <c:size val="8"/>
            <c:spPr>
              <a:solidFill>
                <a:srgbClr val="2E75B6"/>
              </a:solidFill>
            </c:spPr>
          </c:marker>
          <c:dLbls>
            <c:spPr>
              <a:noFill/>
              <a:ln>
                <a:noFill/>
              </a:ln>
              <a:effectLst/>
            </c:spPr>
            <c:txPr>
              <a:bodyPr wrap="none"/>
              <a:lstStyle/>
              <a:p>
                <a:pPr>
                  <a:defRPr sz="1000" b="0" strike="noStrike" spc="-1">
                    <a:latin typeface="Arial"/>
                  </a:defRPr>
                </a:pPr>
                <a:endParaRPr lang="es-ES_tradn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'[1]B. Gráfico de Tendencia'!$B$4:$B$9</c:f>
              <c:strCache>
                <c:ptCount val="6"/>
                <c:pt idx="0">
                  <c:v>Enero</c:v>
                </c:pt>
                <c:pt idx="1">
                  <c:v>Febrero</c:v>
                </c:pt>
                <c:pt idx="2">
                  <c:v>Marzo</c:v>
                </c:pt>
                <c:pt idx="3">
                  <c:v>Abril</c:v>
                </c:pt>
                <c:pt idx="4">
                  <c:v>Mayo</c:v>
                </c:pt>
                <c:pt idx="5">
                  <c:v>Junio</c:v>
                </c:pt>
              </c:strCache>
            </c:strRef>
          </c:cat>
          <c:val>
            <c:numRef>
              <c:f>'[1]B. Gráfico de Tendencia'!$C$4:$C$9</c:f>
              <c:numCache>
                <c:formatCode>General</c:formatCode>
                <c:ptCount val="6"/>
                <c:pt idx="0">
                  <c:v>12500.0</c:v>
                </c:pt>
                <c:pt idx="1">
                  <c:v>13200.0</c:v>
                </c:pt>
                <c:pt idx="2">
                  <c:v>11800.0</c:v>
                </c:pt>
                <c:pt idx="3">
                  <c:v>14500.0</c:v>
                </c:pt>
                <c:pt idx="4">
                  <c:v>15200.0</c:v>
                </c:pt>
                <c:pt idx="5">
                  <c:v>14800.0</c:v>
                </c:pt>
              </c:numCache>
            </c:numRef>
          </c:val>
          <c:smooth val="1"/>
        </c:ser>
        <c:dLbls>
          <c:showLegendKey val="0"/>
          <c:showVal val="0"/>
          <c:showCatName val="0"/>
          <c:showSerName val="0"/>
          <c:showPercent val="0"/>
          <c:showBubbleSize val="0"/>
        </c:dLbls>
        <c:hiLowLines>
          <c:spPr>
            <a:ln w="0">
              <a:noFill/>
            </a:ln>
          </c:spPr>
        </c:hiLowLines>
        <c:marker val="1"/>
        <c:smooth val="0"/>
        <c:axId val="2133684432"/>
        <c:axId val="2133690480"/>
      </c:lineChart>
      <c:catAx>
        <c:axId val="2133684432"/>
        <c:scaling>
          <c:orientation val="minMax"/>
        </c:scaling>
        <c:delete val="0"/>
        <c:axPos val="b"/>
        <c:title>
          <c:tx>
            <c:rich>
              <a:bodyPr rot="0"/>
              <a:lstStyle/>
              <a:p>
                <a:pPr>
                  <a:defRPr sz="1000" b="1" strike="noStrike" spc="-1">
                    <a:solidFill>
                      <a:srgbClr val="000000"/>
                    </a:solidFill>
                    <a:latin typeface="Calibri"/>
                  </a:defRPr>
                </a:pPr>
                <a:r>
                  <a:rPr lang="es-ES_tradnl" sz="1000" b="1" strike="noStrike" spc="-1">
                    <a:solidFill>
                      <a:srgbClr val="000000"/>
                    </a:solidFill>
                    <a:latin typeface="Calibri"/>
                  </a:rPr>
                  <a:t>Mes</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_tradnl"/>
          </a:p>
        </c:txPr>
        <c:crossAx val="2133690480"/>
        <c:crosses val="autoZero"/>
        <c:auto val="1"/>
        <c:lblAlgn val="ctr"/>
        <c:lblOffset val="100"/>
        <c:noMultiLvlLbl val="0"/>
      </c:catAx>
      <c:valAx>
        <c:axId val="21336904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_tradnl" sz="1000" b="1" strike="noStrike" spc="-1">
                    <a:solidFill>
                      <a:srgbClr val="000000"/>
                    </a:solidFill>
                    <a:latin typeface="Calibri"/>
                  </a:rPr>
                  <a:t>Ventas ($)</a:t>
                </a:r>
              </a:p>
            </c:rich>
          </c:tx>
          <c:layout/>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_tradnl"/>
          </a:p>
        </c:txPr>
        <c:crossAx val="2133684432"/>
        <c:crosses val="autoZero"/>
        <c:crossBetween val="between"/>
      </c:valAx>
      <c:spPr>
        <a:noFill/>
        <a:ln w="0">
          <a:noFill/>
        </a:ln>
      </c:spPr>
    </c:plotArea>
    <c:legend>
      <c:legendPos val="b"/>
      <c:layout/>
      <c:overlay val="0"/>
      <c:spPr>
        <a:noFill/>
        <a:ln w="0">
          <a:noFill/>
        </a:ln>
      </c:spPr>
      <c:txPr>
        <a:bodyPr/>
        <a:lstStyle/>
        <a:p>
          <a:pPr>
            <a:defRPr sz="1000" b="0" strike="noStrike" spc="-1">
              <a:solidFill>
                <a:srgbClr val="000000"/>
              </a:solidFill>
              <a:latin typeface="Calibri"/>
            </a:defRPr>
          </a:pPr>
          <a:endParaRPr lang="es-ES_tradn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177800</xdr:rowOff>
    </xdr:from>
    <xdr:to>
      <xdr:col>20</xdr:col>
      <xdr:colOff>0</xdr:colOff>
      <xdr:row>90</xdr:row>
      <xdr:rowOff>141111</xdr:rowOff>
    </xdr:to>
    <xdr:sp macro="" textlink="">
      <xdr:nvSpPr>
        <xdr:cNvPr id="2" name="CuadroTexto 1"/>
        <xdr:cNvSpPr txBox="1"/>
      </xdr:nvSpPr>
      <xdr:spPr>
        <a:xfrm>
          <a:off x="12700" y="177800"/>
          <a:ext cx="16215078" cy="190133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b="1"/>
            <a:t>Pregunta 1 — Fundamentos del Análisis de Datos </a:t>
          </a:r>
        </a:p>
        <a:p>
          <a:r>
            <a:rPr lang="es-ES_tradnl"/>
            <a:t>Parte A: Las 4 etapas del proceso de análisis de datos Antes de describir las etapas, es importante mencionar el punto de partida: el dataset real entregado ("Material de apoyo - Prueba") contiene 316 registros de ventas con columnas Fecha, Producto, Categoría, Región, Monto, Stock e ID_Cliente. Ya desde este primer vistazo se identifican problemas de calidad que condicionan todo el proceso. </a:t>
          </a:r>
          <a:br>
            <a:rPr lang="es-ES_tradnl"/>
          </a:br>
          <a:endParaRPr lang="es-ES_tradnl"/>
        </a:p>
        <a:p>
          <a:r>
            <a:rPr lang="es-ES_tradnl"/>
            <a:t/>
          </a:r>
          <a:br>
            <a:rPr lang="es-ES_tradnl"/>
          </a:br>
          <a:r>
            <a:rPr lang="es-ES_tradnl" b="1"/>
            <a:t>Etapa 1 — Recopilación y comprensión de los datos </a:t>
          </a:r>
          <a:r>
            <a:rPr lang="es-ES_tradnl"/>
            <a:t/>
          </a:r>
          <a:br>
            <a:rPr lang="es-ES_tradnl"/>
          </a:br>
          <a:r>
            <a:rPr lang="es-ES_tradnl"/>
            <a:t>En esta etapa el objetivo es entender qué datos existen, de dónde vienen y qué representan antes de tocar cualquier número. </a:t>
          </a:r>
          <a:br>
            <a:rPr lang="es-ES_tradnl"/>
          </a:br>
          <a:r>
            <a:rPr lang="es-ES_tradnl"/>
            <a:t>Lo que haría concretamente: importar el archivo CSV a Excel mediante la pestaña Datos → Obtener datos → Desde texto/CSV , para preservar los formatos originales sin que Excel los altere automáticamente. Luego revisaría la estructura general: cantidad de filas (316), columnas disponibles (7), tipos de datos por columna, y haría una primera inspección visual desplazando el conjunto de datos. También consultaría al área comercial para entender el significado de cada campo, por ejemplo, si "Monto" es precio de venta o margen neto. </a:t>
          </a:r>
          <a:br>
            <a:rPr lang="es-ES_tradnl"/>
          </a:br>
          <a:endParaRPr lang="es-ES_tradnl"/>
        </a:p>
        <a:p>
          <a:r>
            <a:rPr lang="es-ES_tradnl"/>
            <a:t/>
          </a:r>
          <a:br>
            <a:rPr lang="es-ES_tradnl"/>
          </a:br>
          <a:r>
            <a:rPr lang="es-ES_tradnl" b="1"/>
            <a:t>Etapa 2 — Limpieza y preparación de los datos </a:t>
          </a:r>
          <a:r>
            <a:rPr lang="es-ES_tradnl"/>
            <a:t/>
          </a:r>
          <a:br>
            <a:rPr lang="es-ES_tradnl"/>
          </a:br>
          <a:r>
            <a:rPr lang="es-ES_tradnl"/>
            <a:t>Esta es la etapa más crítica: datos sucios producen análisis incorrectos . En el conjunto de datos entregado se detectaron los siguientes problemas reales: </a:t>
          </a:r>
          <a:br>
            <a:rPr lang="es-ES_tradnl"/>
          </a:br>
          <a:r>
            <a:rPr lang="es-ES_tradnl"/>
            <a:t>- 10 celdas vacías en la columna Producto </a:t>
          </a:r>
          <a:br>
            <a:rPr lang="es-ES_tradnl"/>
          </a:br>
          <a:r>
            <a:rPr lang="es-ES_tradnl"/>
            <a:t>- 17 celdas vacías en la columna Región </a:t>
          </a:r>
          <a:br>
            <a:rPr lang="es-ES_tradnl"/>
          </a:br>
          <a:r>
            <a:rPr lang="es-ES_tradnl"/>
            <a:t>- 27 celdas vacías en la columna Stock </a:t>
          </a:r>
          <a:br>
            <a:rPr lang="es-ES_tradnl"/>
          </a:br>
          <a:r>
            <a:rPr lang="es-ES_tradnl"/>
            <a:t>- Dos formatos de fecha conviviendo: DD/MM/AAAA (255 registros) y DD-MM-AAAA con guion (61 registros), más fechas en formato americano MM/DD/AAAA como 01/19/2024  o 09/29/2024 </a:t>
          </a:r>
          <a:br>
            <a:rPr lang="es-ES_tradnl"/>
          </a:br>
          <a:r>
            <a:rPr lang="es-ES_tradnl"/>
            <a:t>- Errores de escritura en productos : "mouse gaming" vs "Mouse Gaming", "WEBCAM FULL HD" vs "Webcam Full HD", "MINI PC INTEL NUC" vs "Mini PC Intel NUC", "xiaomi redmi 13" vs "Xiaomi Redmi 13" </a:t>
          </a:r>
          <a:br>
            <a:rPr lang="es-ES_tradnl"/>
          </a:br>
          <a:r>
            <a:rPr lang="es-ES_tradnl"/>
            <a:t>- Inconsistencias en Categoría : "tecnologia" vs "Tecnología", "cómputo" vs "Cómputo" </a:t>
          </a:r>
          <a:br>
            <a:rPr lang="es-ES_tradnl"/>
          </a:br>
          <a:r>
            <a:rPr lang="es-ES_tradnl"/>
            <a:t>- Filas casi duplicadas (mismo producto, fecha y monto, distinto ID_Cliente): por ejemplo, las filas de Laptop HP del 15/01/2024 y Tarjeta Gráfica RTX del 25/04/2024 Lo que haría: aplicar las 4 técnicas de limpieza descritas en la Parte B. </a:t>
          </a:r>
          <a:br>
            <a:rPr lang="es-ES_tradnl"/>
          </a:br>
          <a:endParaRPr lang="es-ES_tradnl"/>
        </a:p>
        <a:p>
          <a:r>
            <a:rPr lang="es-ES_tradnl"/>
            <a:t/>
          </a:r>
          <a:br>
            <a:rPr lang="es-ES_tradnl"/>
          </a:br>
          <a:r>
            <a:rPr lang="es-ES_tradnl" b="1"/>
            <a:t>Etapa 3 — Análisis exploratorio y cálculo de métricas </a:t>
          </a:r>
          <a:r>
            <a:rPr lang="es-ES_tradnl"/>
            <a:t/>
          </a:r>
          <a:br>
            <a:rPr lang="es-ES_tradnl"/>
          </a:br>
          <a:r>
            <a:rPr lang="es-ES_tradnl"/>
            <a:t>Con los datos limpios, procedería a descubrir patrones, tendencias y anomalías mediante: </a:t>
          </a:r>
        </a:p>
        <a:p>
          <a:r>
            <a:rPr lang="es-ES_tradnl"/>
            <a:t>- Tabla dinámica con ventas totales por mes para visualizar la estacionalidad a lo largo de 2024 </a:t>
          </a:r>
        </a:p>
        <a:p>
          <a:r>
            <a:rPr lang="es-ES_tradnl"/>
            <a:t>- Desglose de ventas por Categoría (Tecnología, Accesorios, Cómputo, Telefonía) para identificar cuál aporta más ingresos </a:t>
          </a:r>
          <a:br>
            <a:rPr lang="es-ES_tradnl"/>
          </a:br>
          <a:r>
            <a:rPr lang="es-ES_tradnl"/>
            <a:t>- Análisis por Región (Norte, Sur, Centro, Este, Oeste) para detectar zonas de alto y bajo rendimiento </a:t>
          </a:r>
          <a:br>
            <a:rPr lang="es-ES_tradnl"/>
          </a:br>
          <a:r>
            <a:rPr lang="es-ES_tradnl"/>
            <a:t>- Cálculo de KPIs clave: ticket promedio por venta, productos más vendidos por frecuencia, y productos con mayor Monto </a:t>
          </a:r>
          <a:br>
            <a:rPr lang="es-ES_tradnl"/>
          </a:br>
          <a:r>
            <a:rPr lang="es-ES_tradnl"/>
            <a:t>- Gráfico de líneas con la tendencia mensual de ventas acumuladas </a:t>
          </a:r>
          <a:br>
            <a:rPr lang="es-ES_tradnl"/>
          </a:br>
          <a:endParaRPr lang="es-ES_tradnl"/>
        </a:p>
        <a:p>
          <a:r>
            <a:rPr lang="es-ES_tradnl"/>
            <a:t/>
          </a:r>
          <a:br>
            <a:rPr lang="es-ES_tradnl"/>
          </a:br>
          <a:r>
            <a:rPr lang="es-ES_tradnl" b="1"/>
            <a:t>Etapa 4 — Interpretación y comunicación de resultados </a:t>
          </a:r>
          <a:r>
            <a:rPr lang="es-ES_tradnl"/>
            <a:t/>
          </a:r>
          <a:br>
            <a:rPr lang="es-ES_tradnl"/>
          </a:br>
          <a:r>
            <a:rPr lang="es-ES_tradnl"/>
            <a:t>El análisis solo tiene valor si se comunica de forma clara y accionable a quienes toman decisiones. Lo que haría: construir un tablero en Excel con gráficos de línea (tendencia mensual), barras apiladas (ventas por categoría y región), y una tabla resumen con los KPI principales. Redactaría conclusiones concretas: por ejemplo, si la categoría Cómputo concentra el mayor monto promedio por venta pero menor frecuencia, la recomendación sería distinta que si Accesorios tiene alta rotación pero bajo ticket. El informe final estaría orientado a responder preguntas de negocio, no solo a mostrar cifras.</a:t>
          </a:r>
          <a:br>
            <a:rPr lang="es-ES_tradnl"/>
          </a:br>
          <a:r>
            <a:rPr lang="es-ES_tradnl"/>
            <a:t/>
          </a:r>
          <a:br>
            <a:rPr lang="es-ES_tradnl"/>
          </a:br>
          <a:r>
            <a:rPr lang="es-ES_tradnl"/>
            <a:t/>
          </a:r>
          <a:br>
            <a:rPr lang="es-ES_tradnl"/>
          </a:br>
          <a:r>
            <a:rPr lang="es-ES_tradnl" b="1">
              <a:effectLst/>
            </a:rPr>
            <a:t>Parte B: 4 técnicas específicas de Excel para limpiar este conjunto de datos</a:t>
          </a:r>
          <a:br>
            <a:rPr lang="es-ES_tradnl" b="1">
              <a:effectLst/>
            </a:rPr>
          </a:br>
          <a:endParaRPr lang="es-ES_tradnl" b="1"/>
        </a:p>
        <a:p>
          <a:r>
            <a:rPr lang="es-ES_tradnl" b="1">
              <a:effectLst/>
            </a:rPr>
            <a:t>Técnica 1 — Eliminar duplicados</a:t>
          </a:r>
          <a:r>
            <a:rPr lang="es-ES_tradnl">
              <a:effectLst/>
            </a:rPr>
            <a:t> ( </a:t>
          </a:r>
          <a:r>
            <a:rPr lang="es-ES_tradnl"/>
            <a:t>Datos → Quitar duplicados</a:t>
          </a:r>
          <a:r>
            <a:rPr lang="es-ES_tradnl">
              <a:effectLst/>
            </a:rPr>
            <a:t>)</a:t>
          </a:r>
          <a:endParaRPr lang="es-ES_tradnl"/>
        </a:p>
        <a:p>
          <a:r>
            <a:rPr lang="es-ES_tradnl">
              <a:effectLst/>
            </a:rPr>
            <a:t>Se usaría para detectar y eliminar filas repetidas. En el conjunto de datos, varias transacciones comparten exactamente el mismo Producto, Fecha y Monto pero tienen distinto ID_Cliente, lo que puede indicar registros duplicados o ventas legítimas distintas. Aplicaría la función primero sobre todas las columnas para eliminar duplicados exactos, y luego revisaría manualmente los casos sospechosos. Esta herramienta es indispensable porque los duplicados inflan artificialmente los totales de ventas y distorsionan cualquier análisis de tendencias.</a:t>
          </a:r>
          <a:br>
            <a:rPr lang="es-ES_tradnl">
              <a:effectLst/>
            </a:rPr>
          </a:br>
          <a:endParaRPr lang="es-ES_tradnl"/>
        </a:p>
        <a:p>
          <a:r>
            <a:rPr lang="es-ES_tradnl" b="1">
              <a:effectLst/>
            </a:rPr>
            <a:t>Técnica 2 — Texto en columnas + fórmulas de fecha</a:t>
          </a:r>
          <a:r>
            <a:rPr lang="es-ES_tradnl">
              <a:effectLst/>
            </a:rPr>
            <a:t> ( </a:t>
          </a:r>
          <a:r>
            <a:rPr lang="es-ES_tradnl"/>
            <a:t>=FECHA(AÑO(), MES(), DIA())</a:t>
          </a:r>
          <a:r>
            <a:rPr lang="es-ES_tradnl">
              <a:effectLst/>
            </a:rPr>
            <a:t>/ </a:t>
          </a:r>
          <a:r>
            <a:rPr lang="es-ES_tradnl"/>
            <a:t>=DATEVALUE()</a:t>
          </a:r>
          <a:r>
            <a:rPr lang="es-ES_tradnl">
              <a:effectLst/>
            </a:rPr>
            <a:t>)</a:t>
          </a:r>
          <a:br>
            <a:rPr lang="es-ES_tradnl">
              <a:effectLst/>
            </a:rPr>
          </a:br>
          <a:endParaRPr lang="es-ES_tradnl"/>
        </a:p>
        <a:p>
          <a:r>
            <a:rPr lang="es-ES_tradnl">
              <a:effectLst/>
            </a:rPr>
            <a:t>Se usaría para unificar los dos formatos de fecha que conviven en el conjunto de datos. Con </a:t>
          </a:r>
          <a:r>
            <a:rPr lang="es-ES_tradnl"/>
            <a:t>Datos → Texto en columnas</a:t>
          </a:r>
          <a:r>
            <a:rPr lang="es-ES_tradnl">
              <a:effectLst/>
            </a:rPr>
            <a:t>se separan día, mes y año, y luego con </a:t>
          </a:r>
          <a:r>
            <a:rPr lang="es-ES_tradnl"/>
            <a:t>=FECHA(C2,B2,A2)</a:t>
          </a:r>
          <a:r>
            <a:rPr lang="es-ES_tradnl">
              <a:effectLst/>
            </a:rPr>
            <a:t>se reconstruye la fecha en un formato único DD/MM/AAAA. Para las fechas con formato americano (donde el mes aparece primero, como </a:t>
          </a:r>
          <a:r>
            <a:rPr lang="es-ES_tradnl"/>
            <a:t>01/19/2024</a:t>
          </a:r>
          <a:r>
            <a:rPr lang="es-ES_tradnl">
              <a:effectLst/>
            </a:rPr>
            <a:t>), se aplicaría una columna auxiliar con lógica condicional: </a:t>
          </a:r>
          <a:r>
            <a:rPr lang="es-ES_tradnl"/>
            <a:t>=SI(VALOR(IZQUIERDA(A2,2))&gt;12, FECHA(...))</a:t>
          </a:r>
          <a:r>
            <a:rPr lang="es-ES_tradnl">
              <a:effectLst/>
            </a:rPr>
            <a:t>. Sin fechas homogéneas es imposible hacer cualquier análisis temporal o calcular tendencias mensuales.</a:t>
          </a:r>
          <a:br>
            <a:rPr lang="es-ES_tradnl">
              <a:effectLst/>
            </a:rPr>
          </a:br>
          <a:endParaRPr lang="es-ES_tradnl"/>
        </a:p>
        <a:p>
          <a:r>
            <a:rPr lang="es-ES_tradnl" b="1">
              <a:effectLst/>
            </a:rPr>
            <a:t>Técnica 3 — Función </a:t>
          </a:r>
          <a:r>
            <a:rPr lang="es-ES_tradnl" b="1"/>
            <a:t>MAYUSC</a:t>
          </a:r>
          <a:r>
            <a:rPr lang="es-ES_tradnl" b="1">
              <a:effectLst/>
            </a:rPr>
            <a:t>/ </a:t>
          </a:r>
          <a:r>
            <a:rPr lang="es-ES_tradnl" b="1"/>
            <a:t>NOMPROPIO</a:t>
          </a:r>
          <a:r>
            <a:rPr lang="es-ES_tradnl" b="1">
              <a:effectLst/>
            </a:rPr>
            <a:t>+</a:t>
          </a:r>
          <a:r>
            <a:rPr lang="es-ES_tradnl" b="1"/>
            <a:t>Buscar y Reemplazar</a:t>
          </a:r>
          <a:endParaRPr lang="es-ES_tradnl"/>
        </a:p>
        <a:p>
          <a:r>
            <a:rPr lang="es-ES_tradnl">
              <a:effectLst/>
            </a:rPr>
            <a:t>Se usaría para corregir los errores de escritura en los nombres de productos y categorías. Primero aplicaría </a:t>
          </a:r>
          <a:r>
            <a:rPr lang="es-ES_tradnl"/>
            <a:t>=NOMPROPIO(B2)</a:t>
          </a:r>
          <a:r>
            <a:rPr lang="es-ES_tradnl">
              <a:effectLst/>
            </a:rPr>
            <a:t>en una columna auxiliar para normalizar a formato "Primera letra mayúscula" (convirtiendo "mouse gaming", "WEBCAM FULL HD" o "xiaomi redmi 13" a su forma correcta). Luego usaría </a:t>
          </a:r>
          <a:r>
            <a:rPr lang="es-ES_tradnl"/>
            <a:t>Ctrl+H</a:t>
          </a:r>
          <a:r>
            <a:rPr lang="es-ES_tradnl">
              <a:effectLst/>
            </a:rPr>
            <a:t>(Buscar y Reemplazar) para corregir variantes que </a:t>
          </a:r>
          <a:r>
            <a:rPr lang="es-ES_tradnl"/>
            <a:t>NOMPROPIO</a:t>
          </a:r>
          <a:r>
            <a:rPr lang="es-ES_tradnl">
              <a:effectLst/>
            </a:rPr>
            <a:t>no resuelven, como "tecnologia" → "Tecnología" o "cómputo" → "Cómputo". Esta limpieza es crítica: si "Mouse Gaming" y "mouse gaming" quedan como dos productos distintos, cualquier tabla dinámica los mostrará separados y las ventas por producto quedarán fragmentadas.</a:t>
          </a:r>
          <a:br>
            <a:rPr lang="es-ES_tradnl">
              <a:effectLst/>
            </a:rPr>
          </a:br>
          <a:endParaRPr lang="es-ES_tradnl"/>
        </a:p>
        <a:p>
          <a:r>
            <a:rPr lang="es-ES_tradnl" b="1">
              <a:effectLst/>
            </a:rPr>
            <a:t>Técnica 4 — Ir a Especial → Celdas en blanco + relleno o eliminación</a:t>
          </a:r>
          <a:endParaRPr lang="es-ES_tradnl"/>
        </a:p>
        <a:p>
          <a:r>
            <a:rPr lang="es-ES_tradnl">
              <a:effectLst/>
            </a:rPr>
            <a:t>Se usaría para gestionar las celdas vacías detectadas en Producto (10), Región (17) y Stock (27). Con </a:t>
          </a:r>
          <a:r>
            <a:rPr lang="es-ES_tradnl"/>
            <a:t>Ctrl+G → Especial → Celdas en blanco</a:t>
          </a:r>
          <a:r>
            <a:rPr lang="es-ES_tradnl">
              <a:effectLst/>
            </a:rPr>
            <a:t>se seleccionan todas las celdas vacías de una columna simultáneamente. Según el caso: las filas sin Producto se eliminarían porque no es posible saber qué se vendió; las filas sin Región podrían completarse consultando la fuente original o marcarse como "Sin región" para no perderlas; las celdas de Stock vacías se rellenarían con 0 o con el promedio del producto si está disponible. Manejar los vacíos de forma explícita evita que las fórmulas de suma y promedio arrojen errores o resultados subestimados.</a:t>
          </a:r>
          <a:br>
            <a:rPr lang="es-ES_tradnl">
              <a:effectLst/>
            </a:rPr>
          </a:br>
          <a:endParaRPr lang="es-ES_tradnl"/>
        </a:p>
        <a:p>
          <a:r>
            <a:rPr lang="es-ES_tradnl" b="1">
              <a:effectLst/>
            </a:rPr>
            <a:t>Nota sobre el CSV:</a:t>
          </a:r>
          <a:r>
            <a:rPr lang="es-ES_tradnl">
              <a:effectLst/>
            </a:rPr>
            <a:t> el archivo fue importado a Excel usando </a:t>
          </a:r>
          <a:r>
            <a:rPr lang="es-ES_tradnl"/>
            <a:t>Datos → Obtener y transformar datos → Desde texto/CSV</a:t>
          </a:r>
          <a:r>
            <a:rPr lang="es-ES_tradnl">
              <a:effectLst/>
            </a:rPr>
            <a:t>, seleccionando delimitador coma y codificación UTF-8 para preservar los caracteres especiales (tildes, ñ) presentes en los nombres de productos y categorías.</a:t>
          </a:r>
          <a:endParaRPr lang="es-ES_tradnl"/>
        </a:p>
        <a:p>
          <a:endParaRPr lang="es-ES_tradnl"/>
        </a:p>
        <a:p>
          <a:endParaRPr lang="es-ES_tradnl"/>
        </a:p>
        <a:p>
          <a:endParaRPr lang="es-ES_tradnl"/>
        </a:p>
        <a:p>
          <a:endParaRPr lang="es-ES_tradnl"/>
        </a:p>
        <a:p>
          <a:endParaRPr lang="es-ES_tradnl"/>
        </a:p>
        <a:p>
          <a:endParaRPr lang="es-ES_tradnl"/>
        </a:p>
        <a:p>
          <a:endParaRPr lang="es-ES_tradnl"/>
        </a:p>
        <a:p>
          <a:endParaRPr lang="es-ES_tradnl"/>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5</xdr:col>
      <xdr:colOff>794760</xdr:colOff>
      <xdr:row>63</xdr:row>
      <xdr:rowOff>162600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ioleta/Downloads/Pregunta2_Analisis_Vent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de Ventas"/>
      <sheetName val="B. Gráfico de Tendencia"/>
      <sheetName val="D. Crecimiento Mes a Mes"/>
    </sheetNames>
    <sheetDataSet>
      <sheetData sheetId="0" refreshError="1"/>
      <sheetData sheetId="1">
        <row r="3">
          <cell r="C3" t="str">
            <v>Ventas ($)</v>
          </cell>
        </row>
        <row r="4">
          <cell r="B4" t="str">
            <v>Enero</v>
          </cell>
          <cell r="C4">
            <v>12500</v>
          </cell>
        </row>
        <row r="5">
          <cell r="B5" t="str">
            <v>Febrero</v>
          </cell>
          <cell r="C5">
            <v>13200</v>
          </cell>
        </row>
        <row r="6">
          <cell r="B6" t="str">
            <v>Marzo</v>
          </cell>
          <cell r="C6">
            <v>11800</v>
          </cell>
        </row>
        <row r="7">
          <cell r="B7" t="str">
            <v>Abril</v>
          </cell>
          <cell r="C7">
            <v>14500</v>
          </cell>
        </row>
        <row r="8">
          <cell r="B8" t="str">
            <v>Mayo</v>
          </cell>
          <cell r="C8">
            <v>15200</v>
          </cell>
        </row>
        <row r="9">
          <cell r="B9" t="str">
            <v>Junio</v>
          </cell>
          <cell r="C9">
            <v>14800</v>
          </cell>
        </row>
      </sheetData>
      <sheetData sheetId="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5"/>
  <sheetViews>
    <sheetView topLeftCell="A265" workbookViewId="0">
      <selection activeCell="F37" sqref="F37"/>
    </sheetView>
  </sheetViews>
  <sheetFormatPr baseColWidth="10" defaultColWidth="8.83203125" defaultRowHeight="16" x14ac:dyDescent="0.2"/>
  <cols>
    <col min="1" max="1" width="14" style="22" customWidth="1"/>
    <col min="2" max="2" width="26" style="22" customWidth="1"/>
    <col min="3" max="3" width="16" style="22" customWidth="1"/>
    <col min="4" max="4" width="13.5" style="22" customWidth="1"/>
    <col min="5" max="5" width="12.83203125" style="22" customWidth="1"/>
    <col min="6" max="6" width="12.5" style="22" customWidth="1"/>
    <col min="7" max="7" width="15.6640625" style="22" customWidth="1"/>
    <col min="8" max="16384" width="8.83203125" style="22"/>
  </cols>
  <sheetData>
    <row r="1" spans="1:7" s="1" customFormat="1" ht="22" customHeight="1" thickBot="1" x14ac:dyDescent="0.25">
      <c r="A1" s="28" t="s">
        <v>1</v>
      </c>
      <c r="B1" s="28" t="s">
        <v>2</v>
      </c>
      <c r="C1" s="28" t="s">
        <v>480</v>
      </c>
      <c r="D1" s="28" t="s">
        <v>481</v>
      </c>
      <c r="E1" s="28" t="s">
        <v>3</v>
      </c>
      <c r="F1" s="28" t="s">
        <v>4</v>
      </c>
      <c r="G1" s="28" t="s">
        <v>5</v>
      </c>
    </row>
    <row r="2" spans="1:7" x14ac:dyDescent="0.2">
      <c r="A2" s="29" t="s">
        <v>391</v>
      </c>
      <c r="B2" s="30" t="s">
        <v>482</v>
      </c>
      <c r="C2" s="30" t="s">
        <v>483</v>
      </c>
      <c r="D2" s="30" t="s">
        <v>7</v>
      </c>
      <c r="E2" s="31">
        <v>90.98</v>
      </c>
      <c r="F2" s="32">
        <v>26</v>
      </c>
      <c r="G2" s="29" t="s">
        <v>392</v>
      </c>
    </row>
    <row r="3" spans="1:7" x14ac:dyDescent="0.2">
      <c r="A3" s="29" t="s">
        <v>34</v>
      </c>
      <c r="B3" s="30" t="s">
        <v>482</v>
      </c>
      <c r="C3" s="30" t="s">
        <v>483</v>
      </c>
      <c r="D3" s="30" t="s">
        <v>7</v>
      </c>
      <c r="E3" s="31">
        <v>86.92</v>
      </c>
      <c r="F3" s="32">
        <v>27</v>
      </c>
      <c r="G3" s="29" t="s">
        <v>330</v>
      </c>
    </row>
    <row r="4" spans="1:7" x14ac:dyDescent="0.2">
      <c r="A4" s="29" t="s">
        <v>34</v>
      </c>
      <c r="B4" s="30" t="s">
        <v>484</v>
      </c>
      <c r="C4" s="30" t="s">
        <v>483</v>
      </c>
      <c r="D4" s="30" t="s">
        <v>13</v>
      </c>
      <c r="E4" s="31">
        <v>81.93</v>
      </c>
      <c r="F4" s="32">
        <v>37</v>
      </c>
      <c r="G4" s="29" t="s">
        <v>49</v>
      </c>
    </row>
    <row r="5" spans="1:7" x14ac:dyDescent="0.2">
      <c r="A5" s="29" t="s">
        <v>34</v>
      </c>
      <c r="B5" s="30" t="s">
        <v>484</v>
      </c>
      <c r="C5" s="30" t="s">
        <v>483</v>
      </c>
      <c r="D5" s="30" t="s">
        <v>13</v>
      </c>
      <c r="E5" s="31">
        <v>81.93</v>
      </c>
      <c r="F5" s="32">
        <v>37</v>
      </c>
      <c r="G5" s="29" t="s">
        <v>50</v>
      </c>
    </row>
    <row r="6" spans="1:7" x14ac:dyDescent="0.2">
      <c r="A6" s="29" t="s">
        <v>34</v>
      </c>
      <c r="B6" s="30" t="s">
        <v>485</v>
      </c>
      <c r="C6" s="30" t="s">
        <v>26</v>
      </c>
      <c r="D6" s="30" t="s">
        <v>13</v>
      </c>
      <c r="E6" s="31">
        <v>37.22</v>
      </c>
      <c r="F6" s="32">
        <v>29</v>
      </c>
      <c r="G6" s="29" t="s">
        <v>35</v>
      </c>
    </row>
    <row r="7" spans="1:7" x14ac:dyDescent="0.2">
      <c r="A7" s="29" t="s">
        <v>486</v>
      </c>
      <c r="B7" s="30" t="s">
        <v>487</v>
      </c>
      <c r="C7" s="30" t="s">
        <v>483</v>
      </c>
      <c r="D7" s="30" t="s">
        <v>10</v>
      </c>
      <c r="E7" s="31">
        <v>114.06</v>
      </c>
      <c r="F7" s="32">
        <v>18</v>
      </c>
      <c r="G7" s="29" t="s">
        <v>218</v>
      </c>
    </row>
    <row r="8" spans="1:7" x14ac:dyDescent="0.2">
      <c r="A8" s="29" t="s">
        <v>163</v>
      </c>
      <c r="B8" s="30" t="s">
        <v>488</v>
      </c>
      <c r="C8" s="30" t="s">
        <v>489</v>
      </c>
      <c r="D8" s="30" t="s">
        <v>20</v>
      </c>
      <c r="E8" s="31">
        <v>298.97000000000003</v>
      </c>
      <c r="F8" s="32">
        <v>22</v>
      </c>
      <c r="G8" s="29" t="s">
        <v>373</v>
      </c>
    </row>
    <row r="9" spans="1:7" x14ac:dyDescent="0.2">
      <c r="A9" s="29" t="s">
        <v>163</v>
      </c>
      <c r="B9" s="30" t="s">
        <v>490</v>
      </c>
      <c r="C9" s="30" t="s">
        <v>483</v>
      </c>
      <c r="D9" s="30" t="s">
        <v>10</v>
      </c>
      <c r="E9" s="31">
        <v>408.27</v>
      </c>
      <c r="F9" s="32">
        <v>10</v>
      </c>
      <c r="G9" s="29" t="s">
        <v>351</v>
      </c>
    </row>
    <row r="10" spans="1:7" x14ac:dyDescent="0.2">
      <c r="A10" s="29" t="s">
        <v>163</v>
      </c>
      <c r="B10" s="30" t="s">
        <v>488</v>
      </c>
      <c r="C10" s="30" t="s">
        <v>489</v>
      </c>
      <c r="D10" s="30" t="s">
        <v>7</v>
      </c>
      <c r="E10" s="31">
        <v>312.3</v>
      </c>
      <c r="F10" s="32">
        <v>30</v>
      </c>
      <c r="G10" s="29" t="s">
        <v>164</v>
      </c>
    </row>
    <row r="11" spans="1:7" x14ac:dyDescent="0.2">
      <c r="A11" s="29" t="s">
        <v>305</v>
      </c>
      <c r="B11" s="30" t="s">
        <v>490</v>
      </c>
      <c r="C11" s="30" t="s">
        <v>483</v>
      </c>
      <c r="D11" s="30" t="s">
        <v>20</v>
      </c>
      <c r="E11" s="31">
        <v>885.83</v>
      </c>
      <c r="F11" s="32">
        <v>12</v>
      </c>
      <c r="G11" s="29" t="s">
        <v>306</v>
      </c>
    </row>
    <row r="12" spans="1:7" x14ac:dyDescent="0.2">
      <c r="A12" s="29" t="s">
        <v>96</v>
      </c>
      <c r="B12" s="30" t="s">
        <v>491</v>
      </c>
      <c r="C12" s="30" t="s">
        <v>492</v>
      </c>
      <c r="D12" s="30" t="s">
        <v>16</v>
      </c>
      <c r="E12" s="31">
        <v>98.4</v>
      </c>
      <c r="F12" s="32">
        <v>10</v>
      </c>
      <c r="G12" s="29" t="s">
        <v>97</v>
      </c>
    </row>
    <row r="13" spans="1:7" x14ac:dyDescent="0.2">
      <c r="A13" s="29" t="s">
        <v>96</v>
      </c>
      <c r="B13" s="30" t="s">
        <v>23</v>
      </c>
      <c r="C13" s="30" t="s">
        <v>483</v>
      </c>
      <c r="D13" s="30" t="s">
        <v>7</v>
      </c>
      <c r="E13" s="31">
        <v>155.68</v>
      </c>
      <c r="F13" s="32">
        <v>22</v>
      </c>
      <c r="G13" s="29" t="s">
        <v>228</v>
      </c>
    </row>
    <row r="14" spans="1:7" x14ac:dyDescent="0.2">
      <c r="A14" s="29" t="s">
        <v>342</v>
      </c>
      <c r="B14" s="30" t="s">
        <v>493</v>
      </c>
      <c r="C14" s="30" t="s">
        <v>26</v>
      </c>
      <c r="D14" s="30" t="s">
        <v>10</v>
      </c>
      <c r="E14" s="31">
        <v>55.32</v>
      </c>
      <c r="F14" s="32">
        <v>24</v>
      </c>
      <c r="G14" s="29" t="s">
        <v>343</v>
      </c>
    </row>
    <row r="15" spans="1:7" x14ac:dyDescent="0.2">
      <c r="A15" s="29" t="s">
        <v>242</v>
      </c>
      <c r="B15" s="30" t="s">
        <v>494</v>
      </c>
      <c r="C15" s="30" t="s">
        <v>483</v>
      </c>
      <c r="D15" s="30" t="s">
        <v>16</v>
      </c>
      <c r="E15" s="31">
        <v>896.02</v>
      </c>
      <c r="F15" s="32">
        <v>12</v>
      </c>
      <c r="G15" s="29" t="s">
        <v>243</v>
      </c>
    </row>
    <row r="16" spans="1:7" x14ac:dyDescent="0.2">
      <c r="A16" s="29" t="s">
        <v>495</v>
      </c>
      <c r="B16" s="30" t="s">
        <v>496</v>
      </c>
      <c r="C16" s="30" t="s">
        <v>483</v>
      </c>
      <c r="D16" s="30" t="s">
        <v>10</v>
      </c>
      <c r="E16" s="31">
        <v>259.95</v>
      </c>
      <c r="F16" s="32">
        <v>7</v>
      </c>
      <c r="G16" s="29" t="s">
        <v>497</v>
      </c>
    </row>
    <row r="17" spans="1:7" x14ac:dyDescent="0.2">
      <c r="A17" s="29" t="s">
        <v>126</v>
      </c>
      <c r="B17" s="30" t="s">
        <v>488</v>
      </c>
      <c r="C17" s="30" t="s">
        <v>489</v>
      </c>
      <c r="D17" s="30" t="s">
        <v>7</v>
      </c>
      <c r="E17" s="31">
        <v>313.14999999999998</v>
      </c>
      <c r="F17" s="32">
        <v>29</v>
      </c>
      <c r="G17" s="29" t="s">
        <v>276</v>
      </c>
    </row>
    <row r="18" spans="1:7" x14ac:dyDescent="0.2">
      <c r="A18" s="29" t="s">
        <v>126</v>
      </c>
      <c r="B18" s="30" t="s">
        <v>498</v>
      </c>
      <c r="C18" s="30" t="s">
        <v>489</v>
      </c>
      <c r="D18" s="30" t="s">
        <v>16</v>
      </c>
      <c r="E18" s="31">
        <v>20.440000000000001</v>
      </c>
      <c r="F18" s="32">
        <v>120</v>
      </c>
      <c r="G18" s="29" t="s">
        <v>127</v>
      </c>
    </row>
    <row r="19" spans="1:7" x14ac:dyDescent="0.2">
      <c r="A19" s="29" t="s">
        <v>126</v>
      </c>
      <c r="B19" s="30" t="s">
        <v>482</v>
      </c>
      <c r="C19" s="30" t="s">
        <v>483</v>
      </c>
      <c r="D19" s="30" t="s">
        <v>7</v>
      </c>
      <c r="E19" s="31">
        <v>87.72</v>
      </c>
      <c r="F19" s="32">
        <v>22</v>
      </c>
      <c r="G19" s="29" t="s">
        <v>227</v>
      </c>
    </row>
    <row r="20" spans="1:7" x14ac:dyDescent="0.2">
      <c r="A20" s="29" t="s">
        <v>126</v>
      </c>
      <c r="B20" s="30" t="s">
        <v>499</v>
      </c>
      <c r="C20" s="30" t="s">
        <v>492</v>
      </c>
      <c r="D20" s="30" t="s">
        <v>10</v>
      </c>
      <c r="E20" s="31">
        <v>123.41</v>
      </c>
      <c r="F20" s="32">
        <v>15</v>
      </c>
      <c r="G20" s="29" t="s">
        <v>408</v>
      </c>
    </row>
    <row r="21" spans="1:7" x14ac:dyDescent="0.2">
      <c r="A21" s="29" t="s">
        <v>104</v>
      </c>
      <c r="B21" s="30" t="s">
        <v>500</v>
      </c>
      <c r="C21" s="30" t="s">
        <v>489</v>
      </c>
      <c r="D21" s="30" t="s">
        <v>20</v>
      </c>
      <c r="E21" s="31">
        <v>1153.21</v>
      </c>
      <c r="F21" s="32">
        <v>7</v>
      </c>
      <c r="G21" s="29" t="s">
        <v>105</v>
      </c>
    </row>
    <row r="22" spans="1:7" x14ac:dyDescent="0.2">
      <c r="A22" s="29" t="s">
        <v>104</v>
      </c>
      <c r="B22" s="30" t="s">
        <v>501</v>
      </c>
      <c r="C22" s="30" t="s">
        <v>26</v>
      </c>
      <c r="D22" s="30" t="s">
        <v>20</v>
      </c>
      <c r="E22" s="31">
        <v>23.09</v>
      </c>
      <c r="F22" s="32">
        <v>61</v>
      </c>
      <c r="G22" s="29" t="s">
        <v>502</v>
      </c>
    </row>
    <row r="23" spans="1:7" x14ac:dyDescent="0.2">
      <c r="A23" s="29" t="s">
        <v>250</v>
      </c>
      <c r="B23" s="30" t="s">
        <v>488</v>
      </c>
      <c r="C23" s="30" t="s">
        <v>489</v>
      </c>
      <c r="D23" s="30" t="s">
        <v>13</v>
      </c>
      <c r="E23" s="31">
        <v>308.04000000000002</v>
      </c>
      <c r="F23" s="32">
        <v>27</v>
      </c>
      <c r="G23" s="29" t="s">
        <v>251</v>
      </c>
    </row>
    <row r="24" spans="1:7" x14ac:dyDescent="0.2">
      <c r="A24" s="29" t="s">
        <v>345</v>
      </c>
      <c r="B24" s="30" t="s">
        <v>500</v>
      </c>
      <c r="C24" s="30" t="s">
        <v>489</v>
      </c>
      <c r="D24" s="30" t="s">
        <v>7</v>
      </c>
      <c r="E24" s="31">
        <v>1136.95</v>
      </c>
      <c r="F24" s="32">
        <v>8</v>
      </c>
      <c r="G24" s="29" t="s">
        <v>346</v>
      </c>
    </row>
    <row r="25" spans="1:7" x14ac:dyDescent="0.2">
      <c r="A25" s="29" t="s">
        <v>503</v>
      </c>
      <c r="B25" s="30" t="s">
        <v>491</v>
      </c>
      <c r="C25" s="30" t="s">
        <v>492</v>
      </c>
      <c r="D25" s="30" t="s">
        <v>20</v>
      </c>
      <c r="E25" s="31">
        <v>98.73</v>
      </c>
      <c r="F25" s="32">
        <v>10</v>
      </c>
      <c r="G25" s="29" t="s">
        <v>112</v>
      </c>
    </row>
    <row r="26" spans="1:7" x14ac:dyDescent="0.2">
      <c r="A26" s="29" t="s">
        <v>322</v>
      </c>
      <c r="B26" s="30" t="s">
        <v>504</v>
      </c>
      <c r="C26" s="30" t="s">
        <v>489</v>
      </c>
      <c r="D26" s="30" t="s">
        <v>13</v>
      </c>
      <c r="E26" s="31">
        <v>10.34</v>
      </c>
      <c r="F26" s="32">
        <v>202</v>
      </c>
      <c r="G26" s="29" t="s">
        <v>323</v>
      </c>
    </row>
    <row r="27" spans="1:7" x14ac:dyDescent="0.2">
      <c r="A27" s="29" t="s">
        <v>331</v>
      </c>
      <c r="B27" s="30" t="s">
        <v>505</v>
      </c>
      <c r="C27" s="30" t="s">
        <v>483</v>
      </c>
      <c r="D27" s="30" t="s">
        <v>10</v>
      </c>
      <c r="E27" s="31">
        <v>132.79</v>
      </c>
      <c r="F27" s="32">
        <v>21</v>
      </c>
      <c r="G27" s="29" t="s">
        <v>332</v>
      </c>
    </row>
    <row r="28" spans="1:7" x14ac:dyDescent="0.2">
      <c r="A28" s="29" t="s">
        <v>255</v>
      </c>
      <c r="B28" s="30" t="s">
        <v>485</v>
      </c>
      <c r="C28" s="30" t="s">
        <v>26</v>
      </c>
      <c r="D28" s="30" t="s">
        <v>10</v>
      </c>
      <c r="E28" s="31">
        <v>36.35</v>
      </c>
      <c r="F28" s="32">
        <v>30</v>
      </c>
      <c r="G28" s="29" t="s">
        <v>340</v>
      </c>
    </row>
    <row r="29" spans="1:7" x14ac:dyDescent="0.2">
      <c r="A29" s="29" t="s">
        <v>255</v>
      </c>
      <c r="B29" s="30" t="s">
        <v>506</v>
      </c>
      <c r="C29" s="30" t="s">
        <v>492</v>
      </c>
      <c r="D29" s="30" t="s">
        <v>10</v>
      </c>
      <c r="E29" s="31">
        <v>878.97</v>
      </c>
      <c r="F29" s="32">
        <v>9</v>
      </c>
      <c r="G29" s="29" t="s">
        <v>256</v>
      </c>
    </row>
    <row r="30" spans="1:7" x14ac:dyDescent="0.2">
      <c r="A30" s="29" t="s">
        <v>58</v>
      </c>
      <c r="B30" s="30" t="s">
        <v>493</v>
      </c>
      <c r="C30" s="30" t="s">
        <v>26</v>
      </c>
      <c r="D30" s="30" t="s">
        <v>16</v>
      </c>
      <c r="E30" s="31">
        <v>53.24</v>
      </c>
      <c r="F30" s="32">
        <v>20</v>
      </c>
      <c r="G30" s="29" t="s">
        <v>293</v>
      </c>
    </row>
    <row r="31" spans="1:7" x14ac:dyDescent="0.2">
      <c r="A31" s="29" t="s">
        <v>58</v>
      </c>
      <c r="B31" s="30" t="s">
        <v>512</v>
      </c>
      <c r="C31" s="30" t="s">
        <v>26</v>
      </c>
      <c r="D31" s="30" t="s">
        <v>10</v>
      </c>
      <c r="E31" s="31">
        <v>14.69</v>
      </c>
      <c r="F31" s="32">
        <v>89</v>
      </c>
      <c r="G31" s="29" t="s">
        <v>375</v>
      </c>
    </row>
    <row r="32" spans="1:7" x14ac:dyDescent="0.2">
      <c r="A32" s="29" t="s">
        <v>58</v>
      </c>
      <c r="B32" s="30" t="s">
        <v>484</v>
      </c>
      <c r="C32" s="30" t="s">
        <v>483</v>
      </c>
      <c r="D32" s="30" t="s">
        <v>7</v>
      </c>
      <c r="E32" s="31">
        <v>80.52</v>
      </c>
      <c r="F32" s="32">
        <v>37</v>
      </c>
      <c r="G32" s="29" t="s">
        <v>59</v>
      </c>
    </row>
    <row r="33" spans="1:7" x14ac:dyDescent="0.2">
      <c r="A33" s="29" t="s">
        <v>428</v>
      </c>
      <c r="B33" s="30" t="s">
        <v>507</v>
      </c>
      <c r="C33" s="30" t="s">
        <v>492</v>
      </c>
      <c r="D33" s="30" t="s">
        <v>16</v>
      </c>
      <c r="E33" s="31">
        <v>1396.94</v>
      </c>
      <c r="F33" s="32">
        <v>5</v>
      </c>
      <c r="G33" s="29" t="s">
        <v>429</v>
      </c>
    </row>
    <row r="34" spans="1:7" x14ac:dyDescent="0.2">
      <c r="A34" s="29" t="s">
        <v>222</v>
      </c>
      <c r="B34" s="30" t="s">
        <v>508</v>
      </c>
      <c r="C34" s="30" t="s">
        <v>26</v>
      </c>
      <c r="D34" s="30" t="s">
        <v>16</v>
      </c>
      <c r="E34" s="31">
        <v>27.11</v>
      </c>
      <c r="F34" s="32">
        <v>50</v>
      </c>
      <c r="G34" s="29" t="s">
        <v>223</v>
      </c>
    </row>
    <row r="35" spans="1:7" x14ac:dyDescent="0.2">
      <c r="A35" s="29" t="s">
        <v>108</v>
      </c>
      <c r="B35" s="30" t="s">
        <v>487</v>
      </c>
      <c r="C35" s="30" t="s">
        <v>483</v>
      </c>
      <c r="D35" s="30" t="s">
        <v>20</v>
      </c>
      <c r="E35" s="31">
        <v>114.59</v>
      </c>
      <c r="F35" s="32">
        <v>15</v>
      </c>
      <c r="G35" s="29" t="s">
        <v>109</v>
      </c>
    </row>
    <row r="36" spans="1:7" x14ac:dyDescent="0.2">
      <c r="A36" s="29" t="s">
        <v>327</v>
      </c>
      <c r="B36" s="30" t="s">
        <v>504</v>
      </c>
      <c r="C36" s="30" t="s">
        <v>489</v>
      </c>
      <c r="D36" s="30" t="s">
        <v>13</v>
      </c>
      <c r="E36" s="31">
        <v>9.49</v>
      </c>
      <c r="F36" s="32">
        <v>22</v>
      </c>
      <c r="G36" s="29" t="s">
        <v>328</v>
      </c>
    </row>
    <row r="37" spans="1:7" x14ac:dyDescent="0.2">
      <c r="A37" s="29" t="s">
        <v>327</v>
      </c>
      <c r="B37" s="30" t="s">
        <v>509</v>
      </c>
      <c r="C37" s="30" t="s">
        <v>26</v>
      </c>
      <c r="D37" s="30" t="s">
        <v>13</v>
      </c>
      <c r="E37" s="31">
        <v>13.51</v>
      </c>
      <c r="F37" s="32">
        <v>104</v>
      </c>
      <c r="G37" s="29" t="s">
        <v>271</v>
      </c>
    </row>
    <row r="38" spans="1:7" x14ac:dyDescent="0.2">
      <c r="A38" s="29" t="s">
        <v>102</v>
      </c>
      <c r="B38" s="30" t="s">
        <v>500</v>
      </c>
      <c r="C38" s="30" t="s">
        <v>489</v>
      </c>
      <c r="D38" s="30" t="s">
        <v>10</v>
      </c>
      <c r="E38" s="31">
        <v>1082.23</v>
      </c>
      <c r="F38" s="32">
        <v>6</v>
      </c>
      <c r="G38" s="29" t="s">
        <v>103</v>
      </c>
    </row>
    <row r="39" spans="1:7" x14ac:dyDescent="0.2">
      <c r="A39" s="29" t="s">
        <v>102</v>
      </c>
      <c r="B39" s="30" t="s">
        <v>510</v>
      </c>
      <c r="C39" s="30" t="s">
        <v>492</v>
      </c>
      <c r="D39" s="30" t="s">
        <v>13</v>
      </c>
      <c r="E39" s="31">
        <v>495.52</v>
      </c>
      <c r="F39" s="32">
        <v>11</v>
      </c>
      <c r="G39" s="29" t="s">
        <v>350</v>
      </c>
    </row>
    <row r="40" spans="1:7" x14ac:dyDescent="0.2">
      <c r="A40" s="29" t="s">
        <v>139</v>
      </c>
      <c r="B40" s="30" t="s">
        <v>510</v>
      </c>
      <c r="C40" s="30" t="s">
        <v>492</v>
      </c>
      <c r="D40" s="30" t="s">
        <v>10</v>
      </c>
      <c r="E40" s="31">
        <v>476.52</v>
      </c>
      <c r="F40" s="32">
        <v>7</v>
      </c>
      <c r="G40" s="29" t="s">
        <v>140</v>
      </c>
    </row>
    <row r="41" spans="1:7" x14ac:dyDescent="0.2">
      <c r="A41" s="29" t="s">
        <v>139</v>
      </c>
      <c r="B41" s="30" t="s">
        <v>498</v>
      </c>
      <c r="C41" s="30" t="s">
        <v>489</v>
      </c>
      <c r="D41" s="30" t="s">
        <v>13</v>
      </c>
      <c r="E41" s="31">
        <v>19.170000000000002</v>
      </c>
      <c r="F41" s="32">
        <v>124</v>
      </c>
      <c r="G41" s="29" t="s">
        <v>162</v>
      </c>
    </row>
    <row r="42" spans="1:7" x14ac:dyDescent="0.2">
      <c r="A42" s="29" t="s">
        <v>110</v>
      </c>
      <c r="B42" s="30" t="s">
        <v>510</v>
      </c>
      <c r="C42" s="30" t="s">
        <v>492</v>
      </c>
      <c r="D42" s="30" t="s">
        <v>13</v>
      </c>
      <c r="E42" s="31">
        <v>521.55999999999995</v>
      </c>
      <c r="F42" s="32">
        <v>24</v>
      </c>
      <c r="G42" s="29" t="s">
        <v>380</v>
      </c>
    </row>
    <row r="43" spans="1:7" x14ac:dyDescent="0.2">
      <c r="A43" s="29" t="s">
        <v>110</v>
      </c>
      <c r="B43" s="30" t="s">
        <v>485</v>
      </c>
      <c r="C43" s="30" t="s">
        <v>26</v>
      </c>
      <c r="D43" s="30" t="s">
        <v>20</v>
      </c>
      <c r="E43" s="31">
        <v>37.69</v>
      </c>
      <c r="F43" s="32">
        <v>34</v>
      </c>
      <c r="G43" s="29" t="s">
        <v>111</v>
      </c>
    </row>
    <row r="44" spans="1:7" x14ac:dyDescent="0.2">
      <c r="A44" s="29" t="s">
        <v>133</v>
      </c>
      <c r="B44" s="30" t="s">
        <v>504</v>
      </c>
      <c r="C44" s="30" t="s">
        <v>489</v>
      </c>
      <c r="D44" s="30" t="s">
        <v>16</v>
      </c>
      <c r="E44" s="31">
        <v>9.67</v>
      </c>
      <c r="F44" s="32">
        <v>198</v>
      </c>
      <c r="G44" s="29" t="s">
        <v>235</v>
      </c>
    </row>
    <row r="45" spans="1:7" x14ac:dyDescent="0.2">
      <c r="A45" s="29" t="s">
        <v>133</v>
      </c>
      <c r="B45" s="30" t="s">
        <v>488</v>
      </c>
      <c r="C45" s="30" t="s">
        <v>489</v>
      </c>
      <c r="D45" s="30" t="s">
        <v>13</v>
      </c>
      <c r="E45" s="31">
        <v>297.11</v>
      </c>
      <c r="F45" s="32">
        <v>20</v>
      </c>
      <c r="G45" s="29" t="s">
        <v>134</v>
      </c>
    </row>
    <row r="46" spans="1:7" x14ac:dyDescent="0.2">
      <c r="A46" s="29" t="s">
        <v>511</v>
      </c>
      <c r="B46" s="30" t="s">
        <v>491</v>
      </c>
      <c r="C46" s="30" t="s">
        <v>492</v>
      </c>
      <c r="D46" s="30" t="s">
        <v>20</v>
      </c>
      <c r="E46" s="31">
        <v>91.51</v>
      </c>
      <c r="F46" s="32">
        <v>15</v>
      </c>
      <c r="G46" s="29" t="s">
        <v>74</v>
      </c>
    </row>
    <row r="47" spans="1:7" x14ac:dyDescent="0.2">
      <c r="A47" s="29" t="s">
        <v>387</v>
      </c>
      <c r="B47" s="30" t="s">
        <v>506</v>
      </c>
      <c r="C47" s="30" t="s">
        <v>492</v>
      </c>
      <c r="D47" s="30" t="s">
        <v>10</v>
      </c>
      <c r="E47" s="31">
        <v>890.87</v>
      </c>
      <c r="F47" s="32">
        <v>1</v>
      </c>
      <c r="G47" s="29" t="s">
        <v>388</v>
      </c>
    </row>
    <row r="48" spans="1:7" x14ac:dyDescent="0.2">
      <c r="A48" s="29" t="s">
        <v>261</v>
      </c>
      <c r="B48" s="30" t="s">
        <v>512</v>
      </c>
      <c r="C48" s="30" t="s">
        <v>483</v>
      </c>
      <c r="D48" s="30" t="s">
        <v>13</v>
      </c>
      <c r="E48" s="31">
        <v>82.96</v>
      </c>
      <c r="F48" s="32">
        <v>38</v>
      </c>
      <c r="G48" s="29" t="s">
        <v>262</v>
      </c>
    </row>
    <row r="49" spans="1:7" x14ac:dyDescent="0.2">
      <c r="A49" s="29" t="s">
        <v>267</v>
      </c>
      <c r="B49" s="30" t="s">
        <v>500</v>
      </c>
      <c r="C49" s="30" t="s">
        <v>489</v>
      </c>
      <c r="D49" s="30" t="s">
        <v>7</v>
      </c>
      <c r="E49" s="31">
        <v>1154.49</v>
      </c>
      <c r="F49" s="32">
        <v>12</v>
      </c>
      <c r="G49" s="29" t="s">
        <v>268</v>
      </c>
    </row>
    <row r="50" spans="1:7" x14ac:dyDescent="0.2">
      <c r="A50" s="29" t="s">
        <v>106</v>
      </c>
      <c r="B50" s="30" t="s">
        <v>510</v>
      </c>
      <c r="C50" s="30" t="s">
        <v>492</v>
      </c>
      <c r="D50" s="30" t="s">
        <v>16</v>
      </c>
      <c r="E50" s="31">
        <v>479.87</v>
      </c>
      <c r="F50" s="32">
        <v>12</v>
      </c>
      <c r="G50" s="29" t="s">
        <v>107</v>
      </c>
    </row>
    <row r="51" spans="1:7" x14ac:dyDescent="0.2">
      <c r="A51" s="29" t="s">
        <v>231</v>
      </c>
      <c r="B51" s="30" t="s">
        <v>493</v>
      </c>
      <c r="C51" s="30" t="s">
        <v>26</v>
      </c>
      <c r="D51" s="30" t="s">
        <v>7</v>
      </c>
      <c r="E51" s="31">
        <v>56.04</v>
      </c>
      <c r="F51" s="32">
        <v>23</v>
      </c>
      <c r="G51" s="29" t="s">
        <v>233</v>
      </c>
    </row>
    <row r="52" spans="1:7" x14ac:dyDescent="0.2">
      <c r="A52" s="29" t="s">
        <v>231</v>
      </c>
      <c r="B52" s="30" t="s">
        <v>485</v>
      </c>
      <c r="C52" s="30" t="s">
        <v>26</v>
      </c>
      <c r="D52" s="30" t="s">
        <v>7</v>
      </c>
      <c r="E52" s="31">
        <v>35.090000000000003</v>
      </c>
      <c r="F52" s="32">
        <v>34</v>
      </c>
      <c r="G52" s="29" t="s">
        <v>377</v>
      </c>
    </row>
    <row r="53" spans="1:7" x14ac:dyDescent="0.2">
      <c r="A53" s="29" t="s">
        <v>231</v>
      </c>
      <c r="B53" s="30" t="s">
        <v>507</v>
      </c>
      <c r="C53" s="30" t="s">
        <v>492</v>
      </c>
      <c r="D53" s="30" t="s">
        <v>10</v>
      </c>
      <c r="E53" s="31">
        <v>1390.37</v>
      </c>
      <c r="F53" s="32">
        <v>4</v>
      </c>
      <c r="G53" s="29" t="s">
        <v>43</v>
      </c>
    </row>
    <row r="54" spans="1:7" x14ac:dyDescent="0.2">
      <c r="A54" s="29" t="s">
        <v>231</v>
      </c>
      <c r="B54" s="30" t="s">
        <v>493</v>
      </c>
      <c r="C54" s="30" t="s">
        <v>26</v>
      </c>
      <c r="D54" s="30" t="s">
        <v>16</v>
      </c>
      <c r="E54" s="31">
        <v>56.04</v>
      </c>
      <c r="F54" s="32">
        <v>23</v>
      </c>
      <c r="G54" s="29" t="s">
        <v>232</v>
      </c>
    </row>
    <row r="55" spans="1:7" x14ac:dyDescent="0.2">
      <c r="A55" s="29" t="s">
        <v>513</v>
      </c>
      <c r="B55" s="30" t="s">
        <v>512</v>
      </c>
      <c r="C55" s="30" t="s">
        <v>483</v>
      </c>
      <c r="D55" s="30" t="s">
        <v>20</v>
      </c>
      <c r="E55" s="31">
        <v>86.12</v>
      </c>
      <c r="F55" s="32">
        <v>43</v>
      </c>
      <c r="G55" s="29" t="s">
        <v>339</v>
      </c>
    </row>
    <row r="56" spans="1:7" x14ac:dyDescent="0.2">
      <c r="A56" s="29" t="s">
        <v>513</v>
      </c>
      <c r="B56" s="30" t="s">
        <v>488</v>
      </c>
      <c r="C56" s="30" t="s">
        <v>489</v>
      </c>
      <c r="D56" s="30" t="s">
        <v>10</v>
      </c>
      <c r="E56" s="31">
        <v>300.3</v>
      </c>
      <c r="F56" s="32">
        <v>29</v>
      </c>
      <c r="G56" s="29" t="s">
        <v>311</v>
      </c>
    </row>
    <row r="57" spans="1:7" x14ac:dyDescent="0.2">
      <c r="A57" s="29" t="s">
        <v>258</v>
      </c>
      <c r="B57" s="30" t="s">
        <v>514</v>
      </c>
      <c r="C57" s="30" t="s">
        <v>26</v>
      </c>
      <c r="D57" s="30" t="s">
        <v>10</v>
      </c>
      <c r="E57" s="31">
        <v>18.21</v>
      </c>
      <c r="F57" s="32">
        <v>77</v>
      </c>
      <c r="G57" s="29" t="s">
        <v>259</v>
      </c>
    </row>
    <row r="58" spans="1:7" x14ac:dyDescent="0.2">
      <c r="A58" s="29" t="s">
        <v>146</v>
      </c>
      <c r="B58" s="30" t="s">
        <v>500</v>
      </c>
      <c r="C58" s="30" t="s">
        <v>489</v>
      </c>
      <c r="D58" s="30" t="s">
        <v>20</v>
      </c>
      <c r="E58" s="31">
        <v>1117.99</v>
      </c>
      <c r="F58" s="32">
        <v>5</v>
      </c>
      <c r="G58" s="29" t="s">
        <v>147</v>
      </c>
    </row>
    <row r="59" spans="1:7" x14ac:dyDescent="0.2">
      <c r="A59" s="29" t="s">
        <v>146</v>
      </c>
      <c r="B59" s="30" t="s">
        <v>514</v>
      </c>
      <c r="C59" s="30" t="s">
        <v>26</v>
      </c>
      <c r="D59" s="30" t="s">
        <v>7</v>
      </c>
      <c r="E59" s="31">
        <v>19.75</v>
      </c>
      <c r="F59" s="32">
        <v>85</v>
      </c>
      <c r="G59" s="29" t="s">
        <v>372</v>
      </c>
    </row>
    <row r="60" spans="1:7" x14ac:dyDescent="0.2">
      <c r="A60" s="29" t="s">
        <v>194</v>
      </c>
      <c r="B60" s="30" t="s">
        <v>507</v>
      </c>
      <c r="C60" s="30" t="s">
        <v>492</v>
      </c>
      <c r="D60" s="30" t="s">
        <v>10</v>
      </c>
      <c r="E60" s="31">
        <v>1371.86</v>
      </c>
      <c r="F60" s="32">
        <v>9</v>
      </c>
      <c r="G60" s="29" t="s">
        <v>195</v>
      </c>
    </row>
    <row r="61" spans="1:7" x14ac:dyDescent="0.2">
      <c r="A61" s="29" t="s">
        <v>515</v>
      </c>
      <c r="B61" s="30" t="s">
        <v>516</v>
      </c>
      <c r="C61" s="30" t="s">
        <v>483</v>
      </c>
      <c r="D61" s="30" t="s">
        <v>7</v>
      </c>
      <c r="E61" s="31">
        <v>43.48</v>
      </c>
      <c r="F61" s="32">
        <v>27</v>
      </c>
      <c r="G61" s="29" t="s">
        <v>397</v>
      </c>
    </row>
    <row r="62" spans="1:7" x14ac:dyDescent="0.2">
      <c r="A62" s="29" t="s">
        <v>515</v>
      </c>
      <c r="B62" s="30" t="s">
        <v>517</v>
      </c>
      <c r="C62" s="30" t="s">
        <v>483</v>
      </c>
      <c r="D62" s="30" t="s">
        <v>13</v>
      </c>
      <c r="E62" s="31">
        <v>442.56</v>
      </c>
      <c r="F62" s="32">
        <v>3</v>
      </c>
      <c r="G62" s="29" t="s">
        <v>518</v>
      </c>
    </row>
    <row r="63" spans="1:7" x14ac:dyDescent="0.2">
      <c r="A63" s="29" t="s">
        <v>188</v>
      </c>
      <c r="B63" s="30" t="s">
        <v>516</v>
      </c>
      <c r="C63" s="30" t="s">
        <v>483</v>
      </c>
      <c r="D63" s="30" t="s">
        <v>7</v>
      </c>
      <c r="E63" s="31">
        <v>43.77</v>
      </c>
      <c r="F63" s="32">
        <v>33</v>
      </c>
      <c r="G63" s="29" t="s">
        <v>189</v>
      </c>
    </row>
    <row r="64" spans="1:7" x14ac:dyDescent="0.2">
      <c r="A64" s="29" t="s">
        <v>188</v>
      </c>
      <c r="B64" s="30" t="s">
        <v>482</v>
      </c>
      <c r="C64" s="30" t="s">
        <v>483</v>
      </c>
      <c r="D64" s="30" t="s">
        <v>16</v>
      </c>
      <c r="E64" s="31">
        <v>91.73</v>
      </c>
      <c r="F64" s="32">
        <v>27</v>
      </c>
      <c r="G64" s="29" t="s">
        <v>423</v>
      </c>
    </row>
    <row r="65" spans="1:7" x14ac:dyDescent="0.2">
      <c r="A65" s="29" t="s">
        <v>188</v>
      </c>
      <c r="B65" s="30" t="s">
        <v>519</v>
      </c>
      <c r="C65" s="30" t="s">
        <v>483</v>
      </c>
      <c r="D65" s="30" t="s">
        <v>13</v>
      </c>
      <c r="E65" s="31">
        <v>1159.77</v>
      </c>
      <c r="F65" s="32">
        <v>9</v>
      </c>
      <c r="G65" s="29" t="s">
        <v>438</v>
      </c>
    </row>
    <row r="66" spans="1:7" x14ac:dyDescent="0.2">
      <c r="A66" s="29" t="s">
        <v>62</v>
      </c>
      <c r="B66" s="30" t="s">
        <v>509</v>
      </c>
      <c r="C66" s="30" t="s">
        <v>26</v>
      </c>
      <c r="D66" s="30" t="s">
        <v>7</v>
      </c>
      <c r="E66" s="31">
        <v>13.19</v>
      </c>
      <c r="F66" s="32">
        <v>97</v>
      </c>
      <c r="G66" s="29" t="s">
        <v>63</v>
      </c>
    </row>
    <row r="67" spans="1:7" x14ac:dyDescent="0.2">
      <c r="A67" s="29" t="s">
        <v>62</v>
      </c>
      <c r="B67" s="30" t="s">
        <v>496</v>
      </c>
      <c r="C67" s="30" t="s">
        <v>483</v>
      </c>
      <c r="D67" s="30" t="s">
        <v>7</v>
      </c>
      <c r="E67" s="31">
        <v>253.33</v>
      </c>
      <c r="F67" s="32">
        <v>12</v>
      </c>
      <c r="G67" s="29" t="s">
        <v>520</v>
      </c>
    </row>
    <row r="68" spans="1:7" x14ac:dyDescent="0.2">
      <c r="A68" s="29" t="s">
        <v>433</v>
      </c>
      <c r="B68" s="30" t="s">
        <v>521</v>
      </c>
      <c r="C68" s="30" t="s">
        <v>489</v>
      </c>
      <c r="D68" s="30" t="s">
        <v>7</v>
      </c>
      <c r="E68" s="31">
        <v>562.66</v>
      </c>
      <c r="F68" s="32">
        <v>18</v>
      </c>
      <c r="G68" s="29" t="s">
        <v>434</v>
      </c>
    </row>
    <row r="69" spans="1:7" x14ac:dyDescent="0.2">
      <c r="A69" s="29" t="s">
        <v>173</v>
      </c>
      <c r="B69" s="30" t="s">
        <v>508</v>
      </c>
      <c r="C69" s="30" t="s">
        <v>26</v>
      </c>
      <c r="D69" s="30" t="s">
        <v>20</v>
      </c>
      <c r="E69" s="31">
        <v>27.11</v>
      </c>
      <c r="F69" s="32">
        <v>55</v>
      </c>
      <c r="G69" s="29" t="s">
        <v>174</v>
      </c>
    </row>
    <row r="70" spans="1:7" x14ac:dyDescent="0.2">
      <c r="A70" s="29" t="s">
        <v>430</v>
      </c>
      <c r="B70" s="30" t="s">
        <v>500</v>
      </c>
      <c r="C70" s="30" t="s">
        <v>489</v>
      </c>
      <c r="D70" s="30" t="s">
        <v>20</v>
      </c>
      <c r="E70" s="31">
        <v>1067.29</v>
      </c>
      <c r="F70" s="32">
        <v>7</v>
      </c>
      <c r="G70" s="29" t="s">
        <v>431</v>
      </c>
    </row>
    <row r="71" spans="1:7" x14ac:dyDescent="0.2">
      <c r="A71" s="29" t="s">
        <v>522</v>
      </c>
      <c r="B71" s="30" t="s">
        <v>496</v>
      </c>
      <c r="C71" s="30" t="s">
        <v>483</v>
      </c>
      <c r="D71" s="30" t="s">
        <v>10</v>
      </c>
      <c r="E71" s="31">
        <v>254.38</v>
      </c>
      <c r="F71" s="32">
        <v>12</v>
      </c>
      <c r="G71" s="29" t="s">
        <v>523</v>
      </c>
    </row>
    <row r="72" spans="1:7" x14ac:dyDescent="0.2">
      <c r="A72" s="29" t="s">
        <v>522</v>
      </c>
      <c r="B72" s="30" t="s">
        <v>500</v>
      </c>
      <c r="C72" s="30" t="s">
        <v>489</v>
      </c>
      <c r="D72" s="30" t="s">
        <v>16</v>
      </c>
      <c r="E72" s="31">
        <v>1123.8900000000001</v>
      </c>
      <c r="F72" s="32">
        <v>8</v>
      </c>
      <c r="G72" s="29" t="s">
        <v>88</v>
      </c>
    </row>
    <row r="73" spans="1:7" x14ac:dyDescent="0.2">
      <c r="A73" s="29" t="s">
        <v>424</v>
      </c>
      <c r="B73" s="30" t="s">
        <v>501</v>
      </c>
      <c r="C73" s="30" t="s">
        <v>26</v>
      </c>
      <c r="D73" s="30" t="s">
        <v>10</v>
      </c>
      <c r="E73" s="31">
        <v>23.21</v>
      </c>
      <c r="F73" s="32">
        <v>62</v>
      </c>
      <c r="G73" s="29" t="s">
        <v>524</v>
      </c>
    </row>
    <row r="74" spans="1:7" x14ac:dyDescent="0.2">
      <c r="A74" s="29" t="s">
        <v>424</v>
      </c>
      <c r="B74" s="30" t="s">
        <v>500</v>
      </c>
      <c r="C74" s="30" t="s">
        <v>489</v>
      </c>
      <c r="D74" s="30" t="s">
        <v>16</v>
      </c>
      <c r="E74" s="31">
        <v>1113.6400000000001</v>
      </c>
      <c r="F74" s="32">
        <v>6</v>
      </c>
      <c r="G74" s="29" t="s">
        <v>425</v>
      </c>
    </row>
    <row r="75" spans="1:7" x14ac:dyDescent="0.2">
      <c r="A75" s="29" t="s">
        <v>280</v>
      </c>
      <c r="B75" s="30" t="s">
        <v>499</v>
      </c>
      <c r="C75" s="30" t="s">
        <v>492</v>
      </c>
      <c r="D75" s="30" t="s">
        <v>13</v>
      </c>
      <c r="E75" s="31">
        <v>118.32</v>
      </c>
      <c r="F75" s="32">
        <v>10</v>
      </c>
      <c r="G75" s="29" t="s">
        <v>281</v>
      </c>
    </row>
    <row r="76" spans="1:7" x14ac:dyDescent="0.2">
      <c r="A76" s="29" t="s">
        <v>525</v>
      </c>
      <c r="B76" s="30" t="s">
        <v>507</v>
      </c>
      <c r="C76" s="30" t="s">
        <v>492</v>
      </c>
      <c r="D76" s="30" t="s">
        <v>10</v>
      </c>
      <c r="E76" s="31">
        <v>1392.27</v>
      </c>
      <c r="F76" s="32">
        <v>9</v>
      </c>
      <c r="G76" s="29" t="s">
        <v>336</v>
      </c>
    </row>
    <row r="77" spans="1:7" x14ac:dyDescent="0.2">
      <c r="A77" s="29" t="s">
        <v>177</v>
      </c>
      <c r="B77" s="30" t="s">
        <v>504</v>
      </c>
      <c r="C77" s="30" t="s">
        <v>489</v>
      </c>
      <c r="D77" s="30" t="s">
        <v>16</v>
      </c>
      <c r="E77" s="31">
        <v>10.47</v>
      </c>
      <c r="F77" s="32">
        <v>199</v>
      </c>
      <c r="G77" s="29" t="s">
        <v>178</v>
      </c>
    </row>
    <row r="78" spans="1:7" x14ac:dyDescent="0.2">
      <c r="A78" s="29" t="s">
        <v>177</v>
      </c>
      <c r="B78" s="30" t="s">
        <v>510</v>
      </c>
      <c r="C78" s="30" t="s">
        <v>492</v>
      </c>
      <c r="D78" s="30" t="s">
        <v>7</v>
      </c>
      <c r="E78" s="31">
        <v>514.13</v>
      </c>
      <c r="F78" s="32">
        <v>10</v>
      </c>
      <c r="G78" s="29" t="s">
        <v>362</v>
      </c>
    </row>
    <row r="79" spans="1:7" x14ac:dyDescent="0.2">
      <c r="A79" s="29" t="s">
        <v>177</v>
      </c>
      <c r="B79" s="30" t="s">
        <v>506</v>
      </c>
      <c r="C79" s="30" t="s">
        <v>492</v>
      </c>
      <c r="D79" s="30" t="s">
        <v>10</v>
      </c>
      <c r="E79" s="31">
        <v>881.82</v>
      </c>
      <c r="F79" s="32">
        <v>7</v>
      </c>
      <c r="G79" s="29" t="s">
        <v>196</v>
      </c>
    </row>
    <row r="80" spans="1:7" x14ac:dyDescent="0.2">
      <c r="A80" s="29" t="s">
        <v>248</v>
      </c>
      <c r="B80" s="30" t="s">
        <v>526</v>
      </c>
      <c r="C80" s="30" t="s">
        <v>26</v>
      </c>
      <c r="D80" s="30" t="s">
        <v>7</v>
      </c>
      <c r="E80" s="31">
        <v>39.520000000000003</v>
      </c>
      <c r="F80" s="32">
        <v>48</v>
      </c>
      <c r="G80" s="29" t="s">
        <v>249</v>
      </c>
    </row>
    <row r="81" spans="1:7" x14ac:dyDescent="0.2">
      <c r="A81" s="29" t="s">
        <v>298</v>
      </c>
      <c r="B81" s="30" t="s">
        <v>521</v>
      </c>
      <c r="C81" s="30" t="s">
        <v>489</v>
      </c>
      <c r="D81" s="30" t="s">
        <v>16</v>
      </c>
      <c r="E81" s="31">
        <v>550.03</v>
      </c>
      <c r="F81" s="32">
        <v>13</v>
      </c>
      <c r="G81" s="29" t="s">
        <v>419</v>
      </c>
    </row>
    <row r="82" spans="1:7" x14ac:dyDescent="0.2">
      <c r="A82" s="29" t="s">
        <v>298</v>
      </c>
      <c r="B82" s="30" t="s">
        <v>505</v>
      </c>
      <c r="C82" s="30" t="s">
        <v>483</v>
      </c>
      <c r="D82" s="30" t="s">
        <v>16</v>
      </c>
      <c r="E82" s="31">
        <v>130.29</v>
      </c>
      <c r="F82" s="32">
        <v>16</v>
      </c>
      <c r="G82" s="29" t="s">
        <v>299</v>
      </c>
    </row>
    <row r="83" spans="1:7" x14ac:dyDescent="0.2">
      <c r="A83" s="29" t="s">
        <v>192</v>
      </c>
      <c r="B83" s="30" t="s">
        <v>491</v>
      </c>
      <c r="C83" s="30" t="s">
        <v>492</v>
      </c>
      <c r="D83" s="30" t="s">
        <v>7</v>
      </c>
      <c r="E83" s="31">
        <v>93.84</v>
      </c>
      <c r="F83" s="32">
        <v>13</v>
      </c>
      <c r="G83" s="29" t="s">
        <v>193</v>
      </c>
    </row>
    <row r="84" spans="1:7" x14ac:dyDescent="0.2">
      <c r="A84" s="29" t="s">
        <v>192</v>
      </c>
      <c r="B84" s="30" t="s">
        <v>491</v>
      </c>
      <c r="C84" s="30" t="s">
        <v>492</v>
      </c>
      <c r="D84" s="30" t="s">
        <v>20</v>
      </c>
      <c r="E84" s="31">
        <v>98.52</v>
      </c>
      <c r="F84" s="32">
        <v>8</v>
      </c>
      <c r="G84" s="29" t="s">
        <v>386</v>
      </c>
    </row>
    <row r="85" spans="1:7" x14ac:dyDescent="0.2">
      <c r="A85" s="29" t="s">
        <v>527</v>
      </c>
      <c r="B85" s="30" t="s">
        <v>528</v>
      </c>
      <c r="C85" s="30" t="s">
        <v>483</v>
      </c>
      <c r="D85" s="30" t="s">
        <v>7</v>
      </c>
      <c r="E85" s="31">
        <v>209.46</v>
      </c>
      <c r="F85" s="32">
        <v>10</v>
      </c>
      <c r="G85" s="29" t="s">
        <v>402</v>
      </c>
    </row>
    <row r="86" spans="1:7" x14ac:dyDescent="0.2">
      <c r="A86" s="29" t="s">
        <v>115</v>
      </c>
      <c r="B86" s="30" t="s">
        <v>500</v>
      </c>
      <c r="C86" s="30" t="s">
        <v>489</v>
      </c>
      <c r="D86" s="30" t="s">
        <v>16</v>
      </c>
      <c r="E86" s="31">
        <v>1126.8900000000001</v>
      </c>
      <c r="F86" s="32">
        <v>11</v>
      </c>
      <c r="G86" s="29" t="s">
        <v>181</v>
      </c>
    </row>
    <row r="87" spans="1:7" x14ac:dyDescent="0.2">
      <c r="A87" s="29" t="s">
        <v>115</v>
      </c>
      <c r="B87" s="30" t="s">
        <v>493</v>
      </c>
      <c r="C87" s="30" t="s">
        <v>26</v>
      </c>
      <c r="D87" s="30" t="s">
        <v>7</v>
      </c>
      <c r="E87" s="31">
        <v>54.11</v>
      </c>
      <c r="F87" s="32">
        <v>19</v>
      </c>
      <c r="G87" s="29" t="s">
        <v>288</v>
      </c>
    </row>
    <row r="88" spans="1:7" x14ac:dyDescent="0.2">
      <c r="A88" s="29" t="s">
        <v>115</v>
      </c>
      <c r="B88" s="30" t="s">
        <v>493</v>
      </c>
      <c r="C88" s="30" t="s">
        <v>26</v>
      </c>
      <c r="D88" s="30" t="s">
        <v>10</v>
      </c>
      <c r="E88" s="31">
        <v>54</v>
      </c>
      <c r="F88" s="32">
        <v>23</v>
      </c>
      <c r="G88" s="29" t="s">
        <v>116</v>
      </c>
    </row>
    <row r="89" spans="1:7" x14ac:dyDescent="0.2">
      <c r="A89" s="29" t="s">
        <v>115</v>
      </c>
      <c r="B89" s="30" t="s">
        <v>500</v>
      </c>
      <c r="C89" s="30" t="s">
        <v>489</v>
      </c>
      <c r="D89" s="30" t="s">
        <v>13</v>
      </c>
      <c r="E89" s="31">
        <v>1059.29</v>
      </c>
      <c r="F89" s="32">
        <v>9</v>
      </c>
      <c r="G89" s="29" t="s">
        <v>354</v>
      </c>
    </row>
    <row r="90" spans="1:7" x14ac:dyDescent="0.2">
      <c r="A90" s="29" t="s">
        <v>229</v>
      </c>
      <c r="B90" s="30" t="s">
        <v>529</v>
      </c>
      <c r="C90" s="30" t="s">
        <v>489</v>
      </c>
      <c r="D90" s="30" t="s">
        <v>13</v>
      </c>
      <c r="E90" s="31">
        <v>877.43</v>
      </c>
      <c r="F90" s="32">
        <v>9</v>
      </c>
      <c r="G90" s="29" t="s">
        <v>230</v>
      </c>
    </row>
    <row r="91" spans="1:7" x14ac:dyDescent="0.2">
      <c r="A91" s="29" t="s">
        <v>530</v>
      </c>
      <c r="B91" s="30" t="s">
        <v>505</v>
      </c>
      <c r="C91" s="30" t="s">
        <v>483</v>
      </c>
      <c r="D91" s="30" t="s">
        <v>13</v>
      </c>
      <c r="E91" s="31">
        <v>127.7</v>
      </c>
      <c r="F91" s="32">
        <v>15</v>
      </c>
      <c r="G91" s="29" t="s">
        <v>92</v>
      </c>
    </row>
    <row r="92" spans="1:7" x14ac:dyDescent="0.2">
      <c r="A92" s="29" t="s">
        <v>197</v>
      </c>
      <c r="B92" s="30" t="s">
        <v>487</v>
      </c>
      <c r="C92" s="30" t="s">
        <v>483</v>
      </c>
      <c r="D92" s="30" t="s">
        <v>20</v>
      </c>
      <c r="E92" s="31">
        <v>111.28</v>
      </c>
      <c r="F92" s="32">
        <v>19</v>
      </c>
      <c r="G92" s="29" t="s">
        <v>198</v>
      </c>
    </row>
    <row r="93" spans="1:7" x14ac:dyDescent="0.2">
      <c r="A93" s="29" t="s">
        <v>38</v>
      </c>
      <c r="B93" s="30" t="s">
        <v>488</v>
      </c>
      <c r="C93" s="30" t="s">
        <v>489</v>
      </c>
      <c r="D93" s="30" t="s">
        <v>10</v>
      </c>
      <c r="E93" s="31">
        <v>302.16000000000003</v>
      </c>
      <c r="F93" s="32">
        <v>23</v>
      </c>
      <c r="G93" s="29" t="s">
        <v>370</v>
      </c>
    </row>
    <row r="94" spans="1:7" x14ac:dyDescent="0.2">
      <c r="A94" s="29" t="s">
        <v>38</v>
      </c>
      <c r="B94" s="30" t="s">
        <v>514</v>
      </c>
      <c r="C94" s="30" t="s">
        <v>26</v>
      </c>
      <c r="D94" s="30" t="s">
        <v>10</v>
      </c>
      <c r="E94" s="31">
        <v>18.62</v>
      </c>
      <c r="F94" s="32">
        <v>77</v>
      </c>
      <c r="G94" s="29" t="s">
        <v>39</v>
      </c>
    </row>
    <row r="95" spans="1:7" x14ac:dyDescent="0.2">
      <c r="A95" s="29" t="s">
        <v>120</v>
      </c>
      <c r="B95" s="30" t="s">
        <v>531</v>
      </c>
      <c r="C95" s="30" t="s">
        <v>26</v>
      </c>
      <c r="D95" s="30" t="s">
        <v>20</v>
      </c>
      <c r="E95" s="31">
        <v>14.48</v>
      </c>
      <c r="F95" s="32">
        <v>93</v>
      </c>
      <c r="G95" s="29" t="s">
        <v>121</v>
      </c>
    </row>
    <row r="96" spans="1:7" x14ac:dyDescent="0.2">
      <c r="A96" s="29" t="s">
        <v>286</v>
      </c>
      <c r="B96" s="30" t="s">
        <v>521</v>
      </c>
      <c r="C96" s="30" t="s">
        <v>489</v>
      </c>
      <c r="D96" s="30" t="s">
        <v>13</v>
      </c>
      <c r="E96" s="31">
        <v>576.20000000000005</v>
      </c>
      <c r="F96" s="32">
        <v>14</v>
      </c>
      <c r="G96" s="29" t="s">
        <v>287</v>
      </c>
    </row>
    <row r="97" spans="1:7" x14ac:dyDescent="0.2">
      <c r="A97" s="29" t="s">
        <v>212</v>
      </c>
      <c r="B97" s="30" t="s">
        <v>499</v>
      </c>
      <c r="C97" s="30" t="s">
        <v>492</v>
      </c>
      <c r="D97" s="30" t="s">
        <v>13</v>
      </c>
      <c r="E97" s="31">
        <v>125.03</v>
      </c>
      <c r="F97" s="32">
        <v>11</v>
      </c>
      <c r="G97" s="29" t="s">
        <v>432</v>
      </c>
    </row>
    <row r="98" spans="1:7" x14ac:dyDescent="0.2">
      <c r="A98" s="29" t="s">
        <v>212</v>
      </c>
      <c r="B98" s="30" t="s">
        <v>504</v>
      </c>
      <c r="C98" s="30" t="s">
        <v>489</v>
      </c>
      <c r="D98" s="30" t="s">
        <v>13</v>
      </c>
      <c r="E98" s="31">
        <v>10.3</v>
      </c>
      <c r="F98" s="32">
        <v>204</v>
      </c>
      <c r="G98" s="29" t="s">
        <v>213</v>
      </c>
    </row>
    <row r="99" spans="1:7" x14ac:dyDescent="0.2">
      <c r="A99" s="29" t="s">
        <v>165</v>
      </c>
      <c r="B99" s="30" t="s">
        <v>507</v>
      </c>
      <c r="C99" s="30" t="s">
        <v>492</v>
      </c>
      <c r="D99" s="30" t="s">
        <v>7</v>
      </c>
      <c r="E99" s="31">
        <v>1401.61</v>
      </c>
      <c r="F99" s="32">
        <v>3</v>
      </c>
      <c r="G99" s="29" t="s">
        <v>166</v>
      </c>
    </row>
    <row r="100" spans="1:7" x14ac:dyDescent="0.2">
      <c r="A100" s="29" t="s">
        <v>165</v>
      </c>
      <c r="B100" s="30" t="s">
        <v>500</v>
      </c>
      <c r="C100" s="30" t="s">
        <v>489</v>
      </c>
      <c r="D100" s="30" t="s">
        <v>13</v>
      </c>
      <c r="E100" s="31">
        <v>1091.1400000000001</v>
      </c>
      <c r="F100" s="32">
        <v>10</v>
      </c>
      <c r="G100" s="29" t="s">
        <v>257</v>
      </c>
    </row>
    <row r="101" spans="1:7" x14ac:dyDescent="0.2">
      <c r="A101" s="29" t="s">
        <v>532</v>
      </c>
      <c r="B101" s="30" t="s">
        <v>501</v>
      </c>
      <c r="C101" s="30" t="s">
        <v>26</v>
      </c>
      <c r="D101" s="30" t="s">
        <v>20</v>
      </c>
      <c r="E101" s="31">
        <v>21.6</v>
      </c>
      <c r="F101" s="32">
        <v>63</v>
      </c>
      <c r="G101" s="29" t="s">
        <v>533</v>
      </c>
    </row>
    <row r="102" spans="1:7" x14ac:dyDescent="0.2">
      <c r="A102" s="29" t="s">
        <v>219</v>
      </c>
      <c r="B102" s="30" t="s">
        <v>485</v>
      </c>
      <c r="C102" s="30" t="s">
        <v>26</v>
      </c>
      <c r="D102" s="30" t="s">
        <v>20</v>
      </c>
      <c r="E102" s="31">
        <v>36.99</v>
      </c>
      <c r="F102" s="32">
        <v>35</v>
      </c>
      <c r="G102" s="29" t="s">
        <v>220</v>
      </c>
    </row>
    <row r="103" spans="1:7" x14ac:dyDescent="0.2">
      <c r="A103" s="29" t="s">
        <v>439</v>
      </c>
      <c r="B103" s="30" t="s">
        <v>507</v>
      </c>
      <c r="C103" s="30" t="s">
        <v>492</v>
      </c>
      <c r="D103" s="30" t="s">
        <v>16</v>
      </c>
      <c r="E103" s="31">
        <v>1304.67</v>
      </c>
      <c r="F103" s="32">
        <v>5</v>
      </c>
      <c r="G103" s="29" t="s">
        <v>440</v>
      </c>
    </row>
    <row r="104" spans="1:7" x14ac:dyDescent="0.2">
      <c r="A104" s="29" t="s">
        <v>284</v>
      </c>
      <c r="B104" s="30" t="s">
        <v>510</v>
      </c>
      <c r="C104" s="30" t="s">
        <v>492</v>
      </c>
      <c r="D104" s="30" t="s">
        <v>16</v>
      </c>
      <c r="E104" s="31">
        <v>488.61</v>
      </c>
      <c r="F104" s="32">
        <v>6</v>
      </c>
      <c r="G104" s="29" t="s">
        <v>285</v>
      </c>
    </row>
    <row r="105" spans="1:7" x14ac:dyDescent="0.2">
      <c r="A105" s="29" t="s">
        <v>44</v>
      </c>
      <c r="B105" s="30" t="s">
        <v>488</v>
      </c>
      <c r="C105" s="30" t="s">
        <v>489</v>
      </c>
      <c r="D105" s="30" t="s">
        <v>16</v>
      </c>
      <c r="E105" s="31">
        <v>291.25</v>
      </c>
      <c r="F105" s="32">
        <v>25</v>
      </c>
      <c r="G105" s="29" t="s">
        <v>45</v>
      </c>
    </row>
    <row r="106" spans="1:7" x14ac:dyDescent="0.2">
      <c r="A106" s="29" t="s">
        <v>68</v>
      </c>
      <c r="B106" s="30" t="s">
        <v>491</v>
      </c>
      <c r="C106" s="30" t="s">
        <v>492</v>
      </c>
      <c r="D106" s="30" t="s">
        <v>20</v>
      </c>
      <c r="E106" s="31">
        <v>99.29</v>
      </c>
      <c r="F106" s="32">
        <v>15</v>
      </c>
      <c r="G106" s="29" t="s">
        <v>347</v>
      </c>
    </row>
    <row r="107" spans="1:7" x14ac:dyDescent="0.2">
      <c r="A107" s="29" t="s">
        <v>68</v>
      </c>
      <c r="B107" s="30" t="s">
        <v>526</v>
      </c>
      <c r="C107" s="30" t="s">
        <v>26</v>
      </c>
      <c r="D107" s="30" t="s">
        <v>13</v>
      </c>
      <c r="E107" s="31">
        <v>40.96</v>
      </c>
      <c r="F107" s="32">
        <v>45</v>
      </c>
      <c r="G107" s="29" t="s">
        <v>69</v>
      </c>
    </row>
    <row r="108" spans="1:7" x14ac:dyDescent="0.2">
      <c r="A108" s="29" t="s">
        <v>534</v>
      </c>
      <c r="B108" s="30" t="s">
        <v>517</v>
      </c>
      <c r="C108" s="30" t="s">
        <v>483</v>
      </c>
      <c r="D108" s="30" t="s">
        <v>7</v>
      </c>
      <c r="E108" s="31">
        <v>439.42</v>
      </c>
      <c r="F108" s="32">
        <v>9</v>
      </c>
      <c r="G108" s="29" t="s">
        <v>535</v>
      </c>
    </row>
    <row r="109" spans="1:7" x14ac:dyDescent="0.2">
      <c r="A109" s="29" t="s">
        <v>143</v>
      </c>
      <c r="B109" s="30" t="s">
        <v>510</v>
      </c>
      <c r="C109" s="30" t="s">
        <v>492</v>
      </c>
      <c r="D109" s="30" t="s">
        <v>13</v>
      </c>
      <c r="E109" s="31">
        <v>515.86</v>
      </c>
      <c r="F109" s="32">
        <v>13</v>
      </c>
      <c r="G109" s="29" t="s">
        <v>144</v>
      </c>
    </row>
    <row r="110" spans="1:7" x14ac:dyDescent="0.2">
      <c r="A110" s="29" t="s">
        <v>238</v>
      </c>
      <c r="B110" s="30" t="s">
        <v>499</v>
      </c>
      <c r="C110" s="30" t="s">
        <v>492</v>
      </c>
      <c r="D110" s="30" t="s">
        <v>7</v>
      </c>
      <c r="E110" s="31">
        <v>121.83</v>
      </c>
      <c r="F110" s="32">
        <v>12</v>
      </c>
      <c r="G110" s="29" t="s">
        <v>239</v>
      </c>
    </row>
    <row r="111" spans="1:7" x14ac:dyDescent="0.2">
      <c r="A111" s="29" t="s">
        <v>238</v>
      </c>
      <c r="B111" s="30" t="s">
        <v>496</v>
      </c>
      <c r="C111" s="30" t="s">
        <v>483</v>
      </c>
      <c r="D111" s="30" t="s">
        <v>10</v>
      </c>
      <c r="E111" s="31">
        <v>245.42</v>
      </c>
      <c r="F111" s="32">
        <v>15</v>
      </c>
      <c r="G111" s="29" t="s">
        <v>536</v>
      </c>
    </row>
    <row r="112" spans="1:7" x14ac:dyDescent="0.2">
      <c r="A112" s="29" t="s">
        <v>77</v>
      </c>
      <c r="B112" s="30" t="s">
        <v>500</v>
      </c>
      <c r="C112" s="30" t="s">
        <v>489</v>
      </c>
      <c r="D112" s="30" t="s">
        <v>16</v>
      </c>
      <c r="E112" s="31">
        <v>1105.96</v>
      </c>
      <c r="F112" s="32">
        <v>12</v>
      </c>
      <c r="G112" s="29" t="s">
        <v>406</v>
      </c>
    </row>
    <row r="113" spans="1:7" x14ac:dyDescent="0.2">
      <c r="A113" s="29" t="s">
        <v>77</v>
      </c>
      <c r="B113" s="30" t="s">
        <v>500</v>
      </c>
      <c r="C113" s="30" t="s">
        <v>489</v>
      </c>
      <c r="D113" s="30" t="s">
        <v>20</v>
      </c>
      <c r="E113" s="31">
        <v>1105.96</v>
      </c>
      <c r="F113" s="32">
        <v>12</v>
      </c>
      <c r="G113" s="29" t="s">
        <v>405</v>
      </c>
    </row>
    <row r="114" spans="1:7" x14ac:dyDescent="0.2">
      <c r="A114" s="29" t="s">
        <v>77</v>
      </c>
      <c r="B114" s="30" t="s">
        <v>488</v>
      </c>
      <c r="C114" s="30" t="s">
        <v>489</v>
      </c>
      <c r="D114" s="30" t="s">
        <v>10</v>
      </c>
      <c r="E114" s="31">
        <v>305.72000000000003</v>
      </c>
      <c r="F114" s="32">
        <v>23</v>
      </c>
      <c r="G114" s="29" t="s">
        <v>78</v>
      </c>
    </row>
    <row r="115" spans="1:7" x14ac:dyDescent="0.2">
      <c r="A115" s="29" t="s">
        <v>537</v>
      </c>
      <c r="B115" s="30" t="s">
        <v>493</v>
      </c>
      <c r="C115" s="30" t="s">
        <v>26</v>
      </c>
      <c r="D115" s="30" t="s">
        <v>16</v>
      </c>
      <c r="E115" s="31">
        <v>55.45</v>
      </c>
      <c r="F115" s="32">
        <v>23</v>
      </c>
      <c r="G115" s="29" t="s">
        <v>444</v>
      </c>
    </row>
    <row r="116" spans="1:7" x14ac:dyDescent="0.2">
      <c r="A116" s="29" t="s">
        <v>185</v>
      </c>
      <c r="B116" s="30" t="s">
        <v>499</v>
      </c>
      <c r="C116" s="30" t="s">
        <v>492</v>
      </c>
      <c r="D116" s="30" t="s">
        <v>13</v>
      </c>
      <c r="E116" s="31">
        <v>116.38</v>
      </c>
      <c r="F116" s="32">
        <v>15</v>
      </c>
      <c r="G116" s="29" t="s">
        <v>186</v>
      </c>
    </row>
    <row r="117" spans="1:7" x14ac:dyDescent="0.2">
      <c r="A117" s="29" t="s">
        <v>185</v>
      </c>
      <c r="B117" s="30" t="s">
        <v>516</v>
      </c>
      <c r="C117" s="30" t="s">
        <v>483</v>
      </c>
      <c r="D117" s="30" t="s">
        <v>20</v>
      </c>
      <c r="E117" s="31">
        <v>47.12</v>
      </c>
      <c r="F117" s="32">
        <v>30</v>
      </c>
      <c r="G117" s="29" t="s">
        <v>348</v>
      </c>
    </row>
    <row r="118" spans="1:7" x14ac:dyDescent="0.2">
      <c r="A118" s="29" t="s">
        <v>185</v>
      </c>
      <c r="B118" s="30" t="s">
        <v>508</v>
      </c>
      <c r="C118" s="30" t="s">
        <v>26</v>
      </c>
      <c r="D118" s="30" t="s">
        <v>7</v>
      </c>
      <c r="E118" s="31">
        <v>26.11</v>
      </c>
      <c r="F118" s="32">
        <v>24</v>
      </c>
      <c r="G118" s="29" t="s">
        <v>315</v>
      </c>
    </row>
    <row r="119" spans="1:7" x14ac:dyDescent="0.2">
      <c r="A119" s="29" t="s">
        <v>394</v>
      </c>
      <c r="B119" s="30" t="s">
        <v>514</v>
      </c>
      <c r="C119" s="30" t="s">
        <v>26</v>
      </c>
      <c r="D119" s="30" t="s">
        <v>10</v>
      </c>
      <c r="E119" s="31">
        <v>19.649999999999999</v>
      </c>
      <c r="F119" s="32">
        <v>78</v>
      </c>
      <c r="G119" s="29" t="s">
        <v>395</v>
      </c>
    </row>
    <row r="120" spans="1:7" x14ac:dyDescent="0.2">
      <c r="A120" s="29" t="s">
        <v>158</v>
      </c>
      <c r="B120" s="30" t="s">
        <v>504</v>
      </c>
      <c r="C120" s="30" t="s">
        <v>489</v>
      </c>
      <c r="D120" s="30" t="s">
        <v>16</v>
      </c>
      <c r="E120" s="31">
        <v>9.65</v>
      </c>
      <c r="F120" s="32">
        <v>204</v>
      </c>
      <c r="G120" s="29" t="s">
        <v>159</v>
      </c>
    </row>
    <row r="121" spans="1:7" x14ac:dyDescent="0.2">
      <c r="A121" s="29" t="s">
        <v>289</v>
      </c>
      <c r="B121" s="33" t="s">
        <v>528</v>
      </c>
      <c r="C121" s="30" t="s">
        <v>483</v>
      </c>
      <c r="D121" s="30" t="s">
        <v>20</v>
      </c>
      <c r="E121" s="31">
        <v>116.71</v>
      </c>
      <c r="F121" s="32">
        <v>26</v>
      </c>
      <c r="G121" s="29" t="s">
        <v>265</v>
      </c>
    </row>
    <row r="122" spans="1:7" x14ac:dyDescent="0.2">
      <c r="A122" s="29" t="s">
        <v>289</v>
      </c>
      <c r="B122" s="30" t="s">
        <v>519</v>
      </c>
      <c r="C122" s="30" t="s">
        <v>483</v>
      </c>
      <c r="D122" s="30" t="s">
        <v>20</v>
      </c>
      <c r="E122" s="31">
        <v>1210.2</v>
      </c>
      <c r="F122" s="32">
        <v>11</v>
      </c>
      <c r="G122" s="29" t="s">
        <v>98</v>
      </c>
    </row>
    <row r="123" spans="1:7" x14ac:dyDescent="0.2">
      <c r="A123" s="29" t="s">
        <v>289</v>
      </c>
      <c r="B123" s="30" t="s">
        <v>531</v>
      </c>
      <c r="C123" s="30" t="s">
        <v>26</v>
      </c>
      <c r="D123" s="30" t="s">
        <v>10</v>
      </c>
      <c r="E123" s="31">
        <v>14.21</v>
      </c>
      <c r="F123" s="32">
        <v>91</v>
      </c>
      <c r="G123" s="29" t="s">
        <v>290</v>
      </c>
    </row>
    <row r="124" spans="1:7" x14ac:dyDescent="0.2">
      <c r="A124" s="29" t="s">
        <v>325</v>
      </c>
      <c r="B124" s="30" t="s">
        <v>504</v>
      </c>
      <c r="C124" s="30" t="s">
        <v>489</v>
      </c>
      <c r="D124" s="30" t="s">
        <v>16</v>
      </c>
      <c r="E124" s="31">
        <v>10.39</v>
      </c>
      <c r="F124" s="32">
        <v>200</v>
      </c>
      <c r="G124" s="29" t="s">
        <v>93</v>
      </c>
    </row>
    <row r="125" spans="1:7" x14ac:dyDescent="0.2">
      <c r="A125" s="29" t="s">
        <v>325</v>
      </c>
      <c r="B125" s="30" t="s">
        <v>23</v>
      </c>
      <c r="C125" s="30" t="s">
        <v>483</v>
      </c>
      <c r="D125" s="30" t="s">
        <v>13</v>
      </c>
      <c r="E125" s="31">
        <v>159.1</v>
      </c>
      <c r="F125" s="32">
        <v>15</v>
      </c>
      <c r="G125" s="29" t="s">
        <v>326</v>
      </c>
    </row>
    <row r="126" spans="1:7" x14ac:dyDescent="0.2">
      <c r="A126" s="29" t="s">
        <v>182</v>
      </c>
      <c r="B126" s="30" t="s">
        <v>514</v>
      </c>
      <c r="C126" s="30" t="s">
        <v>26</v>
      </c>
      <c r="D126" s="30" t="s">
        <v>20</v>
      </c>
      <c r="E126" s="31">
        <v>19.07</v>
      </c>
      <c r="F126" s="32">
        <v>80</v>
      </c>
      <c r="G126" s="29" t="s">
        <v>183</v>
      </c>
    </row>
    <row r="127" spans="1:7" x14ac:dyDescent="0.2">
      <c r="A127" s="29" t="s">
        <v>277</v>
      </c>
      <c r="B127" s="30" t="s">
        <v>507</v>
      </c>
      <c r="C127" s="30" t="s">
        <v>492</v>
      </c>
      <c r="D127" s="30" t="s">
        <v>7</v>
      </c>
      <c r="E127" s="31">
        <v>1306.42</v>
      </c>
      <c r="F127" s="32">
        <v>4</v>
      </c>
      <c r="G127" s="29" t="s">
        <v>353</v>
      </c>
    </row>
    <row r="128" spans="1:7" x14ac:dyDescent="0.2">
      <c r="A128" s="29" t="s">
        <v>277</v>
      </c>
      <c r="B128" s="30" t="s">
        <v>505</v>
      </c>
      <c r="C128" s="30" t="s">
        <v>483</v>
      </c>
      <c r="D128" s="30" t="s">
        <v>16</v>
      </c>
      <c r="E128" s="31">
        <v>127.27</v>
      </c>
      <c r="F128" s="32">
        <v>19</v>
      </c>
      <c r="G128" s="29" t="s">
        <v>278</v>
      </c>
    </row>
    <row r="129" spans="1:7" x14ac:dyDescent="0.2">
      <c r="A129" s="29" t="s">
        <v>412</v>
      </c>
      <c r="B129" s="30" t="s">
        <v>506</v>
      </c>
      <c r="C129" s="30" t="s">
        <v>492</v>
      </c>
      <c r="D129" s="30" t="s">
        <v>13</v>
      </c>
      <c r="E129" s="31">
        <v>817</v>
      </c>
      <c r="F129" s="32">
        <v>12</v>
      </c>
      <c r="G129" s="29" t="s">
        <v>413</v>
      </c>
    </row>
    <row r="130" spans="1:7" x14ac:dyDescent="0.2">
      <c r="A130" s="29" t="s">
        <v>412</v>
      </c>
      <c r="B130" s="30" t="s">
        <v>506</v>
      </c>
      <c r="C130" s="30" t="s">
        <v>492</v>
      </c>
      <c r="D130" s="30" t="s">
        <v>16</v>
      </c>
      <c r="E130" s="31">
        <v>817</v>
      </c>
      <c r="F130" s="32">
        <v>23</v>
      </c>
      <c r="G130" s="29" t="s">
        <v>414</v>
      </c>
    </row>
    <row r="131" spans="1:7" x14ac:dyDescent="0.2">
      <c r="A131" s="29" t="s">
        <v>412</v>
      </c>
      <c r="B131" s="30" t="s">
        <v>507</v>
      </c>
      <c r="C131" s="30" t="s">
        <v>492</v>
      </c>
      <c r="D131" s="30" t="s">
        <v>10</v>
      </c>
      <c r="E131" s="31">
        <v>1405.78</v>
      </c>
      <c r="F131" s="32">
        <v>8</v>
      </c>
      <c r="G131" s="29" t="s">
        <v>300</v>
      </c>
    </row>
    <row r="132" spans="1:7" x14ac:dyDescent="0.2">
      <c r="A132" s="29" t="s">
        <v>6</v>
      </c>
      <c r="B132" s="30" t="s">
        <v>494</v>
      </c>
      <c r="C132" s="30" t="s">
        <v>483</v>
      </c>
      <c r="D132" s="30" t="s">
        <v>7</v>
      </c>
      <c r="E132" s="31">
        <v>899.99</v>
      </c>
      <c r="F132" s="32">
        <v>15</v>
      </c>
      <c r="G132" s="29" t="s">
        <v>8</v>
      </c>
    </row>
    <row r="133" spans="1:7" x14ac:dyDescent="0.2">
      <c r="A133" s="29" t="s">
        <v>538</v>
      </c>
      <c r="B133" s="30" t="s">
        <v>519</v>
      </c>
      <c r="C133" s="30" t="s">
        <v>483</v>
      </c>
      <c r="D133" s="30" t="s">
        <v>7</v>
      </c>
      <c r="E133" s="31">
        <v>1217.76</v>
      </c>
      <c r="F133" s="32">
        <v>5</v>
      </c>
      <c r="G133" s="29" t="s">
        <v>337</v>
      </c>
    </row>
    <row r="134" spans="1:7" x14ac:dyDescent="0.2">
      <c r="A134" s="29" t="s">
        <v>539</v>
      </c>
      <c r="B134" s="30" t="s">
        <v>500</v>
      </c>
      <c r="C134" s="30" t="s">
        <v>489</v>
      </c>
      <c r="D134" s="30" t="s">
        <v>10</v>
      </c>
      <c r="E134" s="31">
        <v>1072.25</v>
      </c>
      <c r="F134" s="32">
        <v>4</v>
      </c>
      <c r="G134" s="29" t="s">
        <v>420</v>
      </c>
    </row>
    <row r="135" spans="1:7" x14ac:dyDescent="0.2">
      <c r="A135" s="29" t="s">
        <v>378</v>
      </c>
      <c r="B135" s="30" t="s">
        <v>508</v>
      </c>
      <c r="C135" s="30" t="s">
        <v>26</v>
      </c>
      <c r="D135" s="30" t="s">
        <v>16</v>
      </c>
      <c r="E135" s="31">
        <v>24.92</v>
      </c>
      <c r="F135" s="32">
        <v>47</v>
      </c>
      <c r="G135" s="29" t="s">
        <v>379</v>
      </c>
    </row>
    <row r="136" spans="1:7" x14ac:dyDescent="0.2">
      <c r="A136" s="29" t="s">
        <v>334</v>
      </c>
      <c r="B136" s="30" t="s">
        <v>519</v>
      </c>
      <c r="C136" s="30" t="s">
        <v>483</v>
      </c>
      <c r="D136" s="30" t="s">
        <v>7</v>
      </c>
      <c r="E136" s="31">
        <v>1192.0999999999999</v>
      </c>
      <c r="F136" s="32">
        <v>5</v>
      </c>
      <c r="G136" s="29" t="s">
        <v>335</v>
      </c>
    </row>
    <row r="137" spans="1:7" x14ac:dyDescent="0.2">
      <c r="A137" s="29" t="s">
        <v>294</v>
      </c>
      <c r="B137" s="30" t="s">
        <v>493</v>
      </c>
      <c r="C137" s="30" t="s">
        <v>26</v>
      </c>
      <c r="D137" s="30" t="s">
        <v>20</v>
      </c>
      <c r="E137" s="31">
        <v>54.25</v>
      </c>
      <c r="F137" s="32">
        <v>24</v>
      </c>
      <c r="G137" s="29" t="s">
        <v>295</v>
      </c>
    </row>
    <row r="138" spans="1:7" x14ac:dyDescent="0.2">
      <c r="A138" s="29" t="s">
        <v>294</v>
      </c>
      <c r="B138" s="30" t="s">
        <v>507</v>
      </c>
      <c r="C138" s="30" t="s">
        <v>492</v>
      </c>
      <c r="D138" s="30" t="s">
        <v>20</v>
      </c>
      <c r="E138" s="31">
        <v>1389.05</v>
      </c>
      <c r="F138" s="32">
        <v>10</v>
      </c>
      <c r="G138" s="29" t="s">
        <v>376</v>
      </c>
    </row>
    <row r="139" spans="1:7" x14ac:dyDescent="0.2">
      <c r="A139" s="29" t="s">
        <v>294</v>
      </c>
      <c r="B139" s="30" t="s">
        <v>509</v>
      </c>
      <c r="C139" s="30" t="s">
        <v>26</v>
      </c>
      <c r="D139" s="30" t="s">
        <v>7</v>
      </c>
      <c r="E139" s="31">
        <v>13.13</v>
      </c>
      <c r="F139" s="32">
        <v>98</v>
      </c>
      <c r="G139" s="29" t="s">
        <v>341</v>
      </c>
    </row>
    <row r="140" spans="1:7" x14ac:dyDescent="0.2">
      <c r="A140" s="29" t="s">
        <v>135</v>
      </c>
      <c r="B140" s="30" t="s">
        <v>487</v>
      </c>
      <c r="C140" s="30" t="s">
        <v>483</v>
      </c>
      <c r="D140" s="30" t="s">
        <v>10</v>
      </c>
      <c r="E140" s="31">
        <v>108.1</v>
      </c>
      <c r="F140" s="32">
        <v>14</v>
      </c>
      <c r="G140" s="29" t="s">
        <v>437</v>
      </c>
    </row>
    <row r="141" spans="1:7" x14ac:dyDescent="0.2">
      <c r="A141" s="29" t="s">
        <v>135</v>
      </c>
      <c r="B141" s="30" t="s">
        <v>529</v>
      </c>
      <c r="C141" s="30" t="s">
        <v>489</v>
      </c>
      <c r="D141" s="30" t="s">
        <v>13</v>
      </c>
      <c r="E141" s="31">
        <v>912.26</v>
      </c>
      <c r="F141" s="32">
        <v>14</v>
      </c>
      <c r="G141" s="29" t="s">
        <v>136</v>
      </c>
    </row>
    <row r="142" spans="1:7" x14ac:dyDescent="0.2">
      <c r="A142" s="29" t="s">
        <v>9</v>
      </c>
      <c r="B142" s="30" t="s">
        <v>516</v>
      </c>
      <c r="C142" s="30" t="s">
        <v>483</v>
      </c>
      <c r="D142" s="30" t="s">
        <v>10</v>
      </c>
      <c r="E142" s="31">
        <v>45.5</v>
      </c>
      <c r="F142" s="32">
        <v>30</v>
      </c>
      <c r="G142" s="29" t="s">
        <v>11</v>
      </c>
    </row>
    <row r="143" spans="1:7" x14ac:dyDescent="0.2">
      <c r="A143" s="29" t="s">
        <v>9</v>
      </c>
      <c r="B143" s="30" t="s">
        <v>519</v>
      </c>
      <c r="C143" s="30" t="s">
        <v>483</v>
      </c>
      <c r="D143" s="30" t="s">
        <v>20</v>
      </c>
      <c r="E143" s="31">
        <v>1153.78</v>
      </c>
      <c r="F143" s="32">
        <v>11</v>
      </c>
      <c r="G143" s="29" t="s">
        <v>119</v>
      </c>
    </row>
    <row r="144" spans="1:7" x14ac:dyDescent="0.2">
      <c r="A144" s="29" t="s">
        <v>216</v>
      </c>
      <c r="B144" s="30" t="s">
        <v>531</v>
      </c>
      <c r="C144" s="30" t="s">
        <v>26</v>
      </c>
      <c r="D144" s="30" t="s">
        <v>20</v>
      </c>
      <c r="E144" s="31">
        <v>14.1</v>
      </c>
      <c r="F144" s="32">
        <v>95</v>
      </c>
      <c r="G144" s="29" t="s">
        <v>217</v>
      </c>
    </row>
    <row r="145" spans="1:7" x14ac:dyDescent="0.2">
      <c r="A145" s="29" t="s">
        <v>367</v>
      </c>
      <c r="B145" s="30" t="s">
        <v>500</v>
      </c>
      <c r="C145" s="30" t="s">
        <v>489</v>
      </c>
      <c r="D145" s="30" t="s">
        <v>7</v>
      </c>
      <c r="E145" s="31">
        <v>1114.52</v>
      </c>
      <c r="F145" s="32">
        <v>5</v>
      </c>
      <c r="G145" s="29" t="s">
        <v>398</v>
      </c>
    </row>
    <row r="146" spans="1:7" x14ac:dyDescent="0.2">
      <c r="A146" s="29" t="s">
        <v>367</v>
      </c>
      <c r="B146" s="30" t="s">
        <v>23</v>
      </c>
      <c r="C146" s="30" t="s">
        <v>483</v>
      </c>
      <c r="D146" s="30" t="s">
        <v>7</v>
      </c>
      <c r="E146" s="31">
        <v>166.71</v>
      </c>
      <c r="F146" s="32">
        <v>20</v>
      </c>
      <c r="G146" s="29" t="s">
        <v>333</v>
      </c>
    </row>
    <row r="147" spans="1:7" x14ac:dyDescent="0.2">
      <c r="A147" s="29" t="s">
        <v>367</v>
      </c>
      <c r="B147" s="30" t="s">
        <v>493</v>
      </c>
      <c r="C147" s="30" t="s">
        <v>26</v>
      </c>
      <c r="D147" s="30" t="s">
        <v>13</v>
      </c>
      <c r="E147" s="31">
        <v>52.39</v>
      </c>
      <c r="F147" s="32">
        <v>21</v>
      </c>
      <c r="G147" s="29" t="s">
        <v>368</v>
      </c>
    </row>
    <row r="148" spans="1:7" x14ac:dyDescent="0.2">
      <c r="A148" s="29" t="s">
        <v>317</v>
      </c>
      <c r="B148" s="30" t="s">
        <v>485</v>
      </c>
      <c r="C148" s="30" t="s">
        <v>26</v>
      </c>
      <c r="D148" s="30" t="s">
        <v>7</v>
      </c>
      <c r="E148" s="31">
        <v>36.1</v>
      </c>
      <c r="F148" s="32">
        <v>34</v>
      </c>
      <c r="G148" s="29" t="s">
        <v>318</v>
      </c>
    </row>
    <row r="149" spans="1:7" x14ac:dyDescent="0.2">
      <c r="A149" s="29" t="s">
        <v>113</v>
      </c>
      <c r="B149" s="30" t="s">
        <v>507</v>
      </c>
      <c r="C149" s="30" t="s">
        <v>492</v>
      </c>
      <c r="D149" s="30" t="s">
        <v>20</v>
      </c>
      <c r="E149" s="31">
        <v>1391.28</v>
      </c>
      <c r="F149" s="32">
        <v>2</v>
      </c>
      <c r="G149" s="29" t="s">
        <v>132</v>
      </c>
    </row>
    <row r="150" spans="1:7" x14ac:dyDescent="0.2">
      <c r="A150" s="29" t="s">
        <v>113</v>
      </c>
      <c r="B150" s="30" t="s">
        <v>490</v>
      </c>
      <c r="C150" s="30" t="s">
        <v>483</v>
      </c>
      <c r="D150" s="30" t="s">
        <v>20</v>
      </c>
      <c r="E150" s="31">
        <v>416.97</v>
      </c>
      <c r="F150" s="32">
        <v>11</v>
      </c>
      <c r="G150" s="29" t="s">
        <v>416</v>
      </c>
    </row>
    <row r="151" spans="1:7" x14ac:dyDescent="0.2">
      <c r="A151" s="29" t="s">
        <v>113</v>
      </c>
      <c r="B151" s="30" t="s">
        <v>529</v>
      </c>
      <c r="C151" s="30" t="s">
        <v>489</v>
      </c>
      <c r="D151" s="30" t="s">
        <v>13</v>
      </c>
      <c r="E151" s="31">
        <v>859.81</v>
      </c>
      <c r="F151" s="32">
        <v>14</v>
      </c>
      <c r="G151" s="29" t="s">
        <v>114</v>
      </c>
    </row>
    <row r="152" spans="1:7" x14ac:dyDescent="0.2">
      <c r="A152" s="29" t="s">
        <v>100</v>
      </c>
      <c r="B152" s="30" t="s">
        <v>496</v>
      </c>
      <c r="C152" s="30" t="s">
        <v>483</v>
      </c>
      <c r="D152" s="30" t="s">
        <v>13</v>
      </c>
      <c r="E152" s="31">
        <v>250.26</v>
      </c>
      <c r="F152" s="32">
        <v>7</v>
      </c>
      <c r="G152" s="29" t="s">
        <v>540</v>
      </c>
    </row>
    <row r="153" spans="1:7" x14ac:dyDescent="0.2">
      <c r="A153" s="29" t="s">
        <v>100</v>
      </c>
      <c r="B153" s="30" t="s">
        <v>498</v>
      </c>
      <c r="C153" s="30" t="s">
        <v>489</v>
      </c>
      <c r="D153" s="30" t="s">
        <v>10</v>
      </c>
      <c r="E153" s="31">
        <v>19.68</v>
      </c>
      <c r="F153" s="32">
        <v>118</v>
      </c>
      <c r="G153" s="29" t="s">
        <v>204</v>
      </c>
    </row>
    <row r="154" spans="1:7" x14ac:dyDescent="0.2">
      <c r="A154" s="29" t="s">
        <v>100</v>
      </c>
      <c r="B154" s="30" t="s">
        <v>501</v>
      </c>
      <c r="C154" s="30" t="s">
        <v>26</v>
      </c>
      <c r="D154" s="30" t="s">
        <v>13</v>
      </c>
      <c r="E154" s="31">
        <v>22.81</v>
      </c>
      <c r="F154" s="32">
        <v>64</v>
      </c>
      <c r="G154" s="29" t="s">
        <v>541</v>
      </c>
    </row>
    <row r="155" spans="1:7" x14ac:dyDescent="0.2">
      <c r="A155" s="29" t="s">
        <v>100</v>
      </c>
      <c r="B155" s="30" t="s">
        <v>529</v>
      </c>
      <c r="C155" s="30" t="s">
        <v>489</v>
      </c>
      <c r="D155" s="30" t="s">
        <v>13</v>
      </c>
      <c r="E155" s="31">
        <v>893.92</v>
      </c>
      <c r="F155" s="32">
        <v>9</v>
      </c>
      <c r="G155" s="29" t="s">
        <v>101</v>
      </c>
    </row>
    <row r="156" spans="1:7" x14ac:dyDescent="0.2">
      <c r="A156" s="29" t="s">
        <v>128</v>
      </c>
      <c r="B156" s="30" t="s">
        <v>504</v>
      </c>
      <c r="C156" s="30" t="s">
        <v>489</v>
      </c>
      <c r="D156" s="30" t="s">
        <v>10</v>
      </c>
      <c r="E156" s="31">
        <v>10.33</v>
      </c>
      <c r="F156" s="32">
        <v>205</v>
      </c>
      <c r="G156" s="29" t="s">
        <v>129</v>
      </c>
    </row>
    <row r="157" spans="1:7" x14ac:dyDescent="0.2">
      <c r="A157" s="29" t="s">
        <v>128</v>
      </c>
      <c r="B157" s="30" t="s">
        <v>499</v>
      </c>
      <c r="C157" s="30" t="s">
        <v>492</v>
      </c>
      <c r="D157" s="30" t="s">
        <v>16</v>
      </c>
      <c r="E157" s="31">
        <v>116.47</v>
      </c>
      <c r="F157" s="32">
        <v>13</v>
      </c>
      <c r="G157" s="29" t="s">
        <v>283</v>
      </c>
    </row>
    <row r="158" spans="1:7" x14ac:dyDescent="0.2">
      <c r="A158" s="29" t="s">
        <v>128</v>
      </c>
      <c r="B158" s="30" t="s">
        <v>499</v>
      </c>
      <c r="C158" s="30" t="s">
        <v>492</v>
      </c>
      <c r="D158" s="30" t="s">
        <v>20</v>
      </c>
      <c r="E158" s="31">
        <v>116.47</v>
      </c>
      <c r="F158" s="32">
        <v>13</v>
      </c>
      <c r="G158" s="29" t="s">
        <v>282</v>
      </c>
    </row>
    <row r="159" spans="1:7" x14ac:dyDescent="0.2">
      <c r="A159" s="29" t="s">
        <v>358</v>
      </c>
      <c r="B159" s="30" t="s">
        <v>529</v>
      </c>
      <c r="C159" s="30" t="s">
        <v>489</v>
      </c>
      <c r="D159" s="30" t="s">
        <v>16</v>
      </c>
      <c r="E159" s="31">
        <v>858.3</v>
      </c>
      <c r="F159" s="32">
        <v>8</v>
      </c>
      <c r="G159" s="29" t="s">
        <v>359</v>
      </c>
    </row>
    <row r="160" spans="1:7" x14ac:dyDescent="0.2">
      <c r="A160" s="29" t="s">
        <v>358</v>
      </c>
      <c r="B160" s="30" t="s">
        <v>501</v>
      </c>
      <c r="C160" s="30" t="s">
        <v>26</v>
      </c>
      <c r="D160" s="30" t="s">
        <v>10</v>
      </c>
      <c r="E160" s="31">
        <v>22.52</v>
      </c>
      <c r="F160" s="32">
        <v>65</v>
      </c>
      <c r="G160" s="29" t="s">
        <v>542</v>
      </c>
    </row>
    <row r="161" spans="1:7" x14ac:dyDescent="0.2">
      <c r="A161" s="29" t="s">
        <v>358</v>
      </c>
      <c r="B161" s="30" t="s">
        <v>487</v>
      </c>
      <c r="C161" s="30" t="s">
        <v>483</v>
      </c>
      <c r="D161" s="30" t="s">
        <v>10</v>
      </c>
      <c r="E161" s="31">
        <v>112.11</v>
      </c>
      <c r="F161" s="32">
        <v>18</v>
      </c>
      <c r="G161" s="29" t="s">
        <v>415</v>
      </c>
    </row>
    <row r="162" spans="1:7" x14ac:dyDescent="0.2">
      <c r="A162" s="29" t="s">
        <v>12</v>
      </c>
      <c r="B162" s="30" t="s">
        <v>491</v>
      </c>
      <c r="C162" s="30" t="s">
        <v>492</v>
      </c>
      <c r="D162" s="30" t="s">
        <v>20</v>
      </c>
      <c r="E162" s="31">
        <v>98.29</v>
      </c>
      <c r="F162" s="32">
        <v>11</v>
      </c>
      <c r="G162" s="29" t="s">
        <v>89</v>
      </c>
    </row>
    <row r="163" spans="1:7" x14ac:dyDescent="0.2">
      <c r="A163" s="29" t="s">
        <v>12</v>
      </c>
      <c r="B163" s="30" t="s">
        <v>504</v>
      </c>
      <c r="C163" s="30" t="s">
        <v>489</v>
      </c>
      <c r="D163" s="30" t="s">
        <v>13</v>
      </c>
      <c r="E163" s="31">
        <v>9.65</v>
      </c>
      <c r="F163" s="32">
        <v>205</v>
      </c>
      <c r="G163" s="29" t="s">
        <v>443</v>
      </c>
    </row>
    <row r="164" spans="1:7" x14ac:dyDescent="0.2">
      <c r="A164" s="29" t="s">
        <v>12</v>
      </c>
      <c r="B164" s="30" t="s">
        <v>488</v>
      </c>
      <c r="C164" s="30" t="s">
        <v>489</v>
      </c>
      <c r="D164" s="30" t="s">
        <v>16</v>
      </c>
      <c r="E164" s="31">
        <v>308.29000000000002</v>
      </c>
      <c r="F164" s="32">
        <v>27</v>
      </c>
      <c r="G164" s="29" t="s">
        <v>426</v>
      </c>
    </row>
    <row r="165" spans="1:7" x14ac:dyDescent="0.2">
      <c r="A165" s="29" t="s">
        <v>12</v>
      </c>
      <c r="B165" s="30" t="s">
        <v>543</v>
      </c>
      <c r="C165" s="30" t="s">
        <v>483</v>
      </c>
      <c r="D165" s="30" t="s">
        <v>13</v>
      </c>
      <c r="E165" s="31">
        <v>120</v>
      </c>
      <c r="F165" s="32">
        <v>34</v>
      </c>
      <c r="G165" s="29" t="s">
        <v>14</v>
      </c>
    </row>
    <row r="166" spans="1:7" x14ac:dyDescent="0.2">
      <c r="A166" s="29" t="s">
        <v>85</v>
      </c>
      <c r="B166" s="30" t="s">
        <v>499</v>
      </c>
      <c r="C166" s="30" t="s">
        <v>492</v>
      </c>
      <c r="D166" s="30" t="s">
        <v>13</v>
      </c>
      <c r="E166" s="31">
        <v>121.95</v>
      </c>
      <c r="F166" s="32">
        <v>9</v>
      </c>
      <c r="G166" s="29" t="s">
        <v>86</v>
      </c>
    </row>
    <row r="167" spans="1:7" x14ac:dyDescent="0.2">
      <c r="A167" s="29" t="s">
        <v>85</v>
      </c>
      <c r="B167" s="30" t="s">
        <v>491</v>
      </c>
      <c r="C167" s="30" t="s">
        <v>492</v>
      </c>
      <c r="D167" s="30" t="s">
        <v>13</v>
      </c>
      <c r="E167" s="31">
        <v>99.02</v>
      </c>
      <c r="F167" s="32">
        <v>15</v>
      </c>
      <c r="G167" s="29" t="s">
        <v>279</v>
      </c>
    </row>
    <row r="168" spans="1:7" x14ac:dyDescent="0.2">
      <c r="A168" s="29" t="s">
        <v>307</v>
      </c>
      <c r="B168" s="30" t="s">
        <v>485</v>
      </c>
      <c r="C168" s="30" t="s">
        <v>26</v>
      </c>
      <c r="D168" s="30" t="s">
        <v>10</v>
      </c>
      <c r="E168" s="31">
        <v>36.299999999999997</v>
      </c>
      <c r="F168" s="32">
        <v>29</v>
      </c>
      <c r="G168" s="29" t="s">
        <v>308</v>
      </c>
    </row>
    <row r="169" spans="1:7" x14ac:dyDescent="0.2">
      <c r="A169" s="29" t="s">
        <v>544</v>
      </c>
      <c r="B169" s="30" t="s">
        <v>506</v>
      </c>
      <c r="C169" s="30" t="s">
        <v>492</v>
      </c>
      <c r="D169" s="30" t="s">
        <v>7</v>
      </c>
      <c r="E169" s="31">
        <v>844.36</v>
      </c>
      <c r="F169" s="32">
        <v>40</v>
      </c>
      <c r="G169" s="29" t="s">
        <v>393</v>
      </c>
    </row>
    <row r="170" spans="1:7" x14ac:dyDescent="0.2">
      <c r="A170" s="29" t="s">
        <v>269</v>
      </c>
      <c r="B170" s="30" t="s">
        <v>526</v>
      </c>
      <c r="C170" s="30" t="s">
        <v>26</v>
      </c>
      <c r="D170" s="30" t="s">
        <v>7</v>
      </c>
      <c r="E170" s="31">
        <v>38.82</v>
      </c>
      <c r="F170" s="32">
        <v>44</v>
      </c>
      <c r="G170" s="29" t="s">
        <v>270</v>
      </c>
    </row>
    <row r="171" spans="1:7" x14ac:dyDescent="0.2">
      <c r="A171" s="29" t="s">
        <v>53</v>
      </c>
      <c r="B171" s="30" t="s">
        <v>510</v>
      </c>
      <c r="C171" s="30" t="s">
        <v>492</v>
      </c>
      <c r="D171" s="30" t="s">
        <v>16</v>
      </c>
      <c r="E171" s="31">
        <v>505.1</v>
      </c>
      <c r="F171" s="32">
        <v>11</v>
      </c>
      <c r="G171" s="29" t="s">
        <v>396</v>
      </c>
    </row>
    <row r="172" spans="1:7" x14ac:dyDescent="0.2">
      <c r="A172" s="29" t="s">
        <v>53</v>
      </c>
      <c r="B172" s="30" t="s">
        <v>526</v>
      </c>
      <c r="C172" s="30" t="s">
        <v>26</v>
      </c>
      <c r="D172" s="30" t="s">
        <v>16</v>
      </c>
      <c r="E172" s="31">
        <v>39.5</v>
      </c>
      <c r="F172" s="32">
        <v>42</v>
      </c>
      <c r="G172" s="29" t="s">
        <v>244</v>
      </c>
    </row>
    <row r="173" spans="1:7" x14ac:dyDescent="0.2">
      <c r="A173" s="29" t="s">
        <v>53</v>
      </c>
      <c r="B173" s="30" t="s">
        <v>512</v>
      </c>
      <c r="C173" s="30" t="s">
        <v>483</v>
      </c>
      <c r="D173" s="30" t="s">
        <v>16</v>
      </c>
      <c r="E173" s="31">
        <v>83.88</v>
      </c>
      <c r="F173" s="32">
        <v>25</v>
      </c>
      <c r="G173" s="29" t="s">
        <v>275</v>
      </c>
    </row>
    <row r="174" spans="1:7" x14ac:dyDescent="0.2">
      <c r="A174" s="29" t="s">
        <v>53</v>
      </c>
      <c r="B174" s="30" t="s">
        <v>484</v>
      </c>
      <c r="C174" s="30" t="s">
        <v>483</v>
      </c>
      <c r="D174" s="30" t="s">
        <v>20</v>
      </c>
      <c r="E174" s="31">
        <v>76.31</v>
      </c>
      <c r="F174" s="32">
        <v>36</v>
      </c>
      <c r="G174" s="29" t="s">
        <v>54</v>
      </c>
    </row>
    <row r="175" spans="1:7" x14ac:dyDescent="0.2">
      <c r="A175" s="29" t="s">
        <v>545</v>
      </c>
      <c r="B175" s="30" t="s">
        <v>482</v>
      </c>
      <c r="C175" s="30" t="s">
        <v>483</v>
      </c>
      <c r="D175" s="30" t="s">
        <v>7</v>
      </c>
      <c r="E175" s="31">
        <v>89.99</v>
      </c>
      <c r="F175" s="32">
        <v>25</v>
      </c>
      <c r="G175" s="29" t="s">
        <v>15</v>
      </c>
    </row>
    <row r="176" spans="1:7" x14ac:dyDescent="0.2">
      <c r="A176" s="29" t="s">
        <v>399</v>
      </c>
      <c r="B176" s="30" t="s">
        <v>506</v>
      </c>
      <c r="C176" s="30" t="s">
        <v>492</v>
      </c>
      <c r="D176" s="30" t="s">
        <v>20</v>
      </c>
      <c r="E176" s="31">
        <v>879.11</v>
      </c>
      <c r="F176" s="32">
        <v>1</v>
      </c>
      <c r="G176" s="29" t="s">
        <v>400</v>
      </c>
    </row>
    <row r="177" spans="1:7" x14ac:dyDescent="0.2">
      <c r="A177" s="29" t="s">
        <v>399</v>
      </c>
      <c r="B177" s="30" t="s">
        <v>496</v>
      </c>
      <c r="C177" s="30" t="s">
        <v>483</v>
      </c>
      <c r="D177" s="30" t="s">
        <v>16</v>
      </c>
      <c r="E177" s="31">
        <v>250.25</v>
      </c>
      <c r="F177" s="32">
        <v>5</v>
      </c>
      <c r="G177" s="29" t="s">
        <v>546</v>
      </c>
    </row>
    <row r="178" spans="1:7" x14ac:dyDescent="0.2">
      <c r="A178" s="29" t="s">
        <v>547</v>
      </c>
      <c r="B178" s="30" t="s">
        <v>510</v>
      </c>
      <c r="C178" s="30" t="s">
        <v>492</v>
      </c>
      <c r="D178" s="30" t="s">
        <v>10</v>
      </c>
      <c r="E178" s="31">
        <v>492.22</v>
      </c>
      <c r="F178" s="32">
        <v>7</v>
      </c>
      <c r="G178" s="29" t="s">
        <v>137</v>
      </c>
    </row>
    <row r="179" spans="1:7" x14ac:dyDescent="0.2">
      <c r="A179" s="29" t="s">
        <v>547</v>
      </c>
      <c r="B179" s="30" t="s">
        <v>517</v>
      </c>
      <c r="C179" s="30" t="s">
        <v>483</v>
      </c>
      <c r="D179" s="30" t="s">
        <v>10</v>
      </c>
      <c r="E179" s="31">
        <v>450.32</v>
      </c>
      <c r="F179" s="32">
        <v>11</v>
      </c>
      <c r="G179" s="29" t="s">
        <v>548</v>
      </c>
    </row>
    <row r="180" spans="1:7" x14ac:dyDescent="0.2">
      <c r="A180" s="29" t="s">
        <v>549</v>
      </c>
      <c r="B180" s="30" t="s">
        <v>510</v>
      </c>
      <c r="C180" s="30" t="s">
        <v>492</v>
      </c>
      <c r="D180" s="30" t="s">
        <v>20</v>
      </c>
      <c r="E180" s="31">
        <v>494.76</v>
      </c>
      <c r="F180" s="32">
        <v>6</v>
      </c>
      <c r="G180" s="29" t="s">
        <v>57</v>
      </c>
    </row>
    <row r="181" spans="1:7" x14ac:dyDescent="0.2">
      <c r="A181" s="29" t="s">
        <v>549</v>
      </c>
      <c r="B181" s="30" t="s">
        <v>510</v>
      </c>
      <c r="C181" s="30" t="s">
        <v>492</v>
      </c>
      <c r="D181" s="30" t="s">
        <v>13</v>
      </c>
      <c r="E181" s="31">
        <v>489.89</v>
      </c>
      <c r="F181" s="32">
        <v>12</v>
      </c>
      <c r="G181" s="29" t="s">
        <v>211</v>
      </c>
    </row>
    <row r="182" spans="1:7" x14ac:dyDescent="0.2">
      <c r="A182" s="29" t="s">
        <v>245</v>
      </c>
      <c r="B182" s="30" t="s">
        <v>505</v>
      </c>
      <c r="C182" s="30" t="s">
        <v>483</v>
      </c>
      <c r="D182" s="30" t="s">
        <v>10</v>
      </c>
      <c r="E182" s="31">
        <v>133.26</v>
      </c>
      <c r="F182" s="32">
        <v>18</v>
      </c>
      <c r="G182" s="29" t="s">
        <v>246</v>
      </c>
    </row>
    <row r="183" spans="1:7" x14ac:dyDescent="0.2">
      <c r="A183" s="29" t="s">
        <v>202</v>
      </c>
      <c r="B183" s="30" t="s">
        <v>528</v>
      </c>
      <c r="C183" s="30" t="s">
        <v>483</v>
      </c>
      <c r="D183" s="30" t="s">
        <v>20</v>
      </c>
      <c r="E183" s="31">
        <v>196.72</v>
      </c>
      <c r="F183" s="32">
        <v>9</v>
      </c>
      <c r="G183" s="29" t="s">
        <v>203</v>
      </c>
    </row>
    <row r="184" spans="1:7" x14ac:dyDescent="0.2">
      <c r="A184" s="29" t="s">
        <v>421</v>
      </c>
      <c r="B184" s="30" t="s">
        <v>510</v>
      </c>
      <c r="C184" s="30" t="s">
        <v>492</v>
      </c>
      <c r="D184" s="30" t="s">
        <v>20</v>
      </c>
      <c r="E184" s="31">
        <v>488.88</v>
      </c>
      <c r="F184" s="32">
        <v>12</v>
      </c>
      <c r="G184" s="29" t="s">
        <v>422</v>
      </c>
    </row>
    <row r="185" spans="1:7" x14ac:dyDescent="0.2">
      <c r="A185" s="29" t="s">
        <v>550</v>
      </c>
      <c r="B185" s="30" t="s">
        <v>510</v>
      </c>
      <c r="C185" s="30" t="s">
        <v>492</v>
      </c>
      <c r="D185" s="30" t="s">
        <v>20</v>
      </c>
      <c r="E185" s="31">
        <v>509.11</v>
      </c>
      <c r="F185" s="32">
        <v>13</v>
      </c>
      <c r="G185" s="29" t="s">
        <v>87</v>
      </c>
    </row>
    <row r="186" spans="1:7" x14ac:dyDescent="0.2">
      <c r="A186" s="29" t="s">
        <v>550</v>
      </c>
      <c r="B186" s="30" t="s">
        <v>507</v>
      </c>
      <c r="C186" s="30" t="s">
        <v>492</v>
      </c>
      <c r="D186" s="30" t="s">
        <v>13</v>
      </c>
      <c r="E186" s="31">
        <v>1351.49</v>
      </c>
      <c r="F186" s="32">
        <v>4</v>
      </c>
      <c r="G186" s="29" t="s">
        <v>316</v>
      </c>
    </row>
    <row r="187" spans="1:7" x14ac:dyDescent="0.2">
      <c r="A187" s="29" t="s">
        <v>94</v>
      </c>
      <c r="B187" s="30" t="s">
        <v>526</v>
      </c>
      <c r="C187" s="30" t="s">
        <v>26</v>
      </c>
      <c r="D187" s="30" t="s">
        <v>16</v>
      </c>
      <c r="E187" s="31">
        <v>41.16</v>
      </c>
      <c r="F187" s="32">
        <v>46</v>
      </c>
      <c r="G187" s="29" t="s">
        <v>95</v>
      </c>
    </row>
    <row r="188" spans="1:7" x14ac:dyDescent="0.2">
      <c r="A188" s="29" t="s">
        <v>130</v>
      </c>
      <c r="B188" s="30" t="s">
        <v>493</v>
      </c>
      <c r="C188" s="30" t="s">
        <v>26</v>
      </c>
      <c r="D188" s="30" t="s">
        <v>20</v>
      </c>
      <c r="E188" s="31">
        <v>53.82</v>
      </c>
      <c r="F188" s="32">
        <v>18</v>
      </c>
      <c r="G188" s="29" t="s">
        <v>131</v>
      </c>
    </row>
    <row r="189" spans="1:7" x14ac:dyDescent="0.2">
      <c r="A189" s="29" t="s">
        <v>130</v>
      </c>
      <c r="B189" s="30" t="s">
        <v>496</v>
      </c>
      <c r="C189" s="30" t="s">
        <v>483</v>
      </c>
      <c r="D189" s="30" t="s">
        <v>16</v>
      </c>
      <c r="E189" s="31">
        <v>250</v>
      </c>
      <c r="F189" s="32">
        <v>10</v>
      </c>
      <c r="G189" s="29" t="s">
        <v>551</v>
      </c>
    </row>
    <row r="190" spans="1:7" x14ac:dyDescent="0.2">
      <c r="A190" s="29" t="s">
        <v>130</v>
      </c>
      <c r="B190" s="30" t="s">
        <v>508</v>
      </c>
      <c r="C190" s="30" t="s">
        <v>26</v>
      </c>
      <c r="D190" s="30" t="s">
        <v>10</v>
      </c>
      <c r="E190" s="31">
        <v>25.13</v>
      </c>
      <c r="F190" s="32">
        <v>51</v>
      </c>
      <c r="G190" s="29" t="s">
        <v>266</v>
      </c>
    </row>
    <row r="191" spans="1:7" x14ac:dyDescent="0.2">
      <c r="A191" s="29" t="s">
        <v>152</v>
      </c>
      <c r="B191" s="30" t="s">
        <v>507</v>
      </c>
      <c r="C191" s="30" t="s">
        <v>492</v>
      </c>
      <c r="D191" s="30" t="s">
        <v>13</v>
      </c>
      <c r="E191" s="31">
        <v>1387.47</v>
      </c>
      <c r="F191" s="32">
        <v>4</v>
      </c>
      <c r="G191" s="29" t="s">
        <v>153</v>
      </c>
    </row>
    <row r="192" spans="1:7" x14ac:dyDescent="0.2">
      <c r="A192" s="29" t="s">
        <v>273</v>
      </c>
      <c r="B192" s="30" t="s">
        <v>512</v>
      </c>
      <c r="C192" s="30" t="s">
        <v>483</v>
      </c>
      <c r="D192" s="30" t="s">
        <v>13</v>
      </c>
      <c r="E192" s="31">
        <v>85.06</v>
      </c>
      <c r="F192" s="32">
        <v>43</v>
      </c>
      <c r="G192" s="29" t="s">
        <v>274</v>
      </c>
    </row>
    <row r="193" spans="1:7" x14ac:dyDescent="0.2">
      <c r="A193" s="29" t="s">
        <v>273</v>
      </c>
      <c r="B193" s="30" t="s">
        <v>504</v>
      </c>
      <c r="C193" s="30" t="s">
        <v>489</v>
      </c>
      <c r="D193" s="30" t="s">
        <v>13</v>
      </c>
      <c r="E193" s="31">
        <v>10.33</v>
      </c>
      <c r="F193" s="32">
        <v>202</v>
      </c>
      <c r="G193" s="29" t="s">
        <v>389</v>
      </c>
    </row>
    <row r="194" spans="1:7" x14ac:dyDescent="0.2">
      <c r="A194" s="29" t="s">
        <v>273</v>
      </c>
      <c r="B194" s="30" t="s">
        <v>504</v>
      </c>
      <c r="C194" s="30" t="s">
        <v>489</v>
      </c>
      <c r="D194" s="30" t="s">
        <v>7</v>
      </c>
      <c r="E194" s="31">
        <v>10.33</v>
      </c>
      <c r="F194" s="32">
        <v>202</v>
      </c>
      <c r="G194" s="29" t="s">
        <v>390</v>
      </c>
    </row>
    <row r="195" spans="1:7" x14ac:dyDescent="0.2">
      <c r="A195" s="29" t="s">
        <v>169</v>
      </c>
      <c r="B195" s="30" t="s">
        <v>507</v>
      </c>
      <c r="C195" s="30" t="s">
        <v>492</v>
      </c>
      <c r="D195" s="30" t="s">
        <v>16</v>
      </c>
      <c r="E195" s="31">
        <v>1380.82</v>
      </c>
      <c r="F195" s="32">
        <v>10</v>
      </c>
      <c r="G195" s="29" t="s">
        <v>252</v>
      </c>
    </row>
    <row r="196" spans="1:7" x14ac:dyDescent="0.2">
      <c r="A196" s="29" t="s">
        <v>169</v>
      </c>
      <c r="B196" s="30" t="s">
        <v>506</v>
      </c>
      <c r="C196" s="30" t="s">
        <v>492</v>
      </c>
      <c r="D196" s="30" t="s">
        <v>13</v>
      </c>
      <c r="E196" s="31">
        <v>817.52</v>
      </c>
      <c r="F196" s="32">
        <v>4</v>
      </c>
      <c r="G196" s="29" t="s">
        <v>170</v>
      </c>
    </row>
    <row r="197" spans="1:7" x14ac:dyDescent="0.2">
      <c r="A197" s="29" t="s">
        <v>552</v>
      </c>
      <c r="B197" s="30" t="s">
        <v>504</v>
      </c>
      <c r="C197" s="30" t="s">
        <v>489</v>
      </c>
      <c r="D197" s="30" t="s">
        <v>20</v>
      </c>
      <c r="E197" s="31">
        <v>9.61</v>
      </c>
      <c r="F197" s="32">
        <v>197</v>
      </c>
      <c r="G197" s="29" t="s">
        <v>240</v>
      </c>
    </row>
    <row r="198" spans="1:7" x14ac:dyDescent="0.2">
      <c r="A198" s="29" t="s">
        <v>553</v>
      </c>
      <c r="B198" s="30" t="s">
        <v>509</v>
      </c>
      <c r="C198" s="30" t="s">
        <v>26</v>
      </c>
      <c r="D198" s="30" t="s">
        <v>13</v>
      </c>
      <c r="E198" s="31">
        <v>12.6</v>
      </c>
      <c r="F198" s="32">
        <v>99</v>
      </c>
      <c r="G198" s="29" t="s">
        <v>247</v>
      </c>
    </row>
    <row r="199" spans="1:7" x14ac:dyDescent="0.2">
      <c r="A199" s="29" t="s">
        <v>160</v>
      </c>
      <c r="B199" s="30" t="s">
        <v>531</v>
      </c>
      <c r="C199" s="30" t="s">
        <v>26</v>
      </c>
      <c r="D199" s="30" t="s">
        <v>16</v>
      </c>
      <c r="E199" s="31">
        <v>14.61</v>
      </c>
      <c r="F199" s="32">
        <v>30</v>
      </c>
      <c r="G199" s="29" t="s">
        <v>403</v>
      </c>
    </row>
    <row r="200" spans="1:7" x14ac:dyDescent="0.2">
      <c r="A200" s="29" t="s">
        <v>160</v>
      </c>
      <c r="B200" s="30" t="s">
        <v>491</v>
      </c>
      <c r="C200" s="30" t="s">
        <v>492</v>
      </c>
      <c r="D200" s="30" t="s">
        <v>10</v>
      </c>
      <c r="E200" s="31">
        <v>97.94</v>
      </c>
      <c r="F200" s="32">
        <v>10</v>
      </c>
      <c r="G200" s="29" t="s">
        <v>161</v>
      </c>
    </row>
    <row r="201" spans="1:7" x14ac:dyDescent="0.2">
      <c r="A201" s="29" t="s">
        <v>355</v>
      </c>
      <c r="B201" s="30" t="s">
        <v>491</v>
      </c>
      <c r="C201" s="30" t="s">
        <v>492</v>
      </c>
      <c r="D201" s="30" t="s">
        <v>16</v>
      </c>
      <c r="E201" s="31">
        <v>92.54</v>
      </c>
      <c r="F201" s="32">
        <v>15</v>
      </c>
      <c r="G201" s="29" t="s">
        <v>356</v>
      </c>
    </row>
    <row r="202" spans="1:7" x14ac:dyDescent="0.2">
      <c r="A202" s="29" t="s">
        <v>200</v>
      </c>
      <c r="B202" s="30" t="s">
        <v>23</v>
      </c>
      <c r="C202" s="30" t="s">
        <v>483</v>
      </c>
      <c r="D202" s="30" t="s">
        <v>7</v>
      </c>
      <c r="E202" s="31">
        <v>160.82</v>
      </c>
      <c r="F202" s="32">
        <v>19</v>
      </c>
      <c r="G202" s="29" t="s">
        <v>187</v>
      </c>
    </row>
    <row r="203" spans="1:7" x14ac:dyDescent="0.2">
      <c r="A203" s="29" t="s">
        <v>200</v>
      </c>
      <c r="B203" s="30" t="s">
        <v>490</v>
      </c>
      <c r="C203" s="30" t="s">
        <v>483</v>
      </c>
      <c r="D203" s="30" t="s">
        <v>13</v>
      </c>
      <c r="E203" s="31">
        <v>387.29</v>
      </c>
      <c r="F203" s="32">
        <v>11</v>
      </c>
      <c r="G203" s="29" t="s">
        <v>201</v>
      </c>
    </row>
    <row r="204" spans="1:7" x14ac:dyDescent="0.2">
      <c r="A204" s="29" t="s">
        <v>17</v>
      </c>
      <c r="B204" s="30" t="s">
        <v>528</v>
      </c>
      <c r="C204" s="30" t="s">
        <v>483</v>
      </c>
      <c r="D204" s="30" t="s">
        <v>10</v>
      </c>
      <c r="E204" s="31">
        <v>199.99</v>
      </c>
      <c r="F204" s="32">
        <v>8</v>
      </c>
      <c r="G204" s="29" t="s">
        <v>18</v>
      </c>
    </row>
    <row r="205" spans="1:7" x14ac:dyDescent="0.2">
      <c r="A205" s="29" t="s">
        <v>167</v>
      </c>
      <c r="B205" s="30" t="s">
        <v>510</v>
      </c>
      <c r="C205" s="30" t="s">
        <v>492</v>
      </c>
      <c r="D205" s="30" t="s">
        <v>10</v>
      </c>
      <c r="E205" s="31">
        <v>486.39</v>
      </c>
      <c r="F205" s="32">
        <v>12</v>
      </c>
      <c r="G205" s="29" t="s">
        <v>272</v>
      </c>
    </row>
    <row r="206" spans="1:7" x14ac:dyDescent="0.2">
      <c r="A206" s="29" t="s">
        <v>167</v>
      </c>
      <c r="B206" s="30" t="s">
        <v>531</v>
      </c>
      <c r="C206" s="30" t="s">
        <v>26</v>
      </c>
      <c r="D206" s="30" t="s">
        <v>10</v>
      </c>
      <c r="E206" s="31">
        <v>15.2</v>
      </c>
      <c r="F206" s="32">
        <v>92</v>
      </c>
      <c r="G206" s="29" t="s">
        <v>168</v>
      </c>
    </row>
    <row r="207" spans="1:7" x14ac:dyDescent="0.2">
      <c r="A207" s="29" t="s">
        <v>70</v>
      </c>
      <c r="B207" s="30" t="s">
        <v>506</v>
      </c>
      <c r="C207" s="30" t="s">
        <v>492</v>
      </c>
      <c r="D207" s="30" t="s">
        <v>20</v>
      </c>
      <c r="E207" s="31">
        <v>883.51</v>
      </c>
      <c r="F207" s="32">
        <v>8</v>
      </c>
      <c r="G207" s="29" t="s">
        <v>71</v>
      </c>
    </row>
    <row r="208" spans="1:7" x14ac:dyDescent="0.2">
      <c r="A208" s="29" t="s">
        <v>309</v>
      </c>
      <c r="B208" s="30" t="s">
        <v>514</v>
      </c>
      <c r="C208" s="30" t="s">
        <v>26</v>
      </c>
      <c r="D208" s="30" t="s">
        <v>16</v>
      </c>
      <c r="E208" s="31">
        <v>19.05</v>
      </c>
      <c r="F208" s="32">
        <v>82</v>
      </c>
      <c r="G208" s="29" t="s">
        <v>310</v>
      </c>
    </row>
    <row r="209" spans="1:7" x14ac:dyDescent="0.2">
      <c r="A209" s="29" t="s">
        <v>384</v>
      </c>
      <c r="B209" s="30" t="s">
        <v>508</v>
      </c>
      <c r="C209" s="30" t="s">
        <v>26</v>
      </c>
      <c r="D209" s="30" t="s">
        <v>20</v>
      </c>
      <c r="E209" s="31">
        <v>26.72</v>
      </c>
      <c r="F209" s="32">
        <v>54</v>
      </c>
      <c r="G209" s="29" t="s">
        <v>385</v>
      </c>
    </row>
    <row r="210" spans="1:7" x14ac:dyDescent="0.2">
      <c r="A210" s="29" t="s">
        <v>384</v>
      </c>
      <c r="B210" s="30" t="s">
        <v>507</v>
      </c>
      <c r="C210" s="30" t="s">
        <v>492</v>
      </c>
      <c r="D210" s="30" t="s">
        <v>13</v>
      </c>
      <c r="E210" s="31">
        <v>1360.41</v>
      </c>
      <c r="F210" s="32">
        <v>9</v>
      </c>
      <c r="G210" s="29" t="s">
        <v>418</v>
      </c>
    </row>
    <row r="211" spans="1:7" x14ac:dyDescent="0.2">
      <c r="A211" s="29" t="s">
        <v>19</v>
      </c>
      <c r="B211" s="30" t="s">
        <v>490</v>
      </c>
      <c r="C211" s="30" t="s">
        <v>483</v>
      </c>
      <c r="D211" s="30" t="s">
        <v>20</v>
      </c>
      <c r="E211" s="31">
        <v>399.99</v>
      </c>
      <c r="F211" s="32">
        <v>12</v>
      </c>
      <c r="G211" s="29" t="s">
        <v>21</v>
      </c>
    </row>
    <row r="212" spans="1:7" x14ac:dyDescent="0.2">
      <c r="A212" s="29" t="s">
        <v>312</v>
      </c>
      <c r="B212" s="30" t="s">
        <v>529</v>
      </c>
      <c r="C212" s="30" t="s">
        <v>489</v>
      </c>
      <c r="D212" s="30" t="s">
        <v>10</v>
      </c>
      <c r="E212" s="31">
        <v>875.29</v>
      </c>
      <c r="F212" s="32">
        <v>8</v>
      </c>
      <c r="G212" s="29" t="s">
        <v>313</v>
      </c>
    </row>
    <row r="213" spans="1:7" x14ac:dyDescent="0.2">
      <c r="A213" s="29" t="s">
        <v>209</v>
      </c>
      <c r="B213" s="30" t="s">
        <v>490</v>
      </c>
      <c r="C213" s="30" t="s">
        <v>483</v>
      </c>
      <c r="D213" s="30" t="s">
        <v>13</v>
      </c>
      <c r="E213" s="31">
        <v>413.34</v>
      </c>
      <c r="F213" s="32">
        <v>11</v>
      </c>
      <c r="G213" s="29" t="s">
        <v>210</v>
      </c>
    </row>
    <row r="214" spans="1:7" x14ac:dyDescent="0.2">
      <c r="A214" s="29" t="s">
        <v>36</v>
      </c>
      <c r="B214" s="30" t="s">
        <v>484</v>
      </c>
      <c r="C214" s="30" t="s">
        <v>483</v>
      </c>
      <c r="D214" s="30" t="s">
        <v>13</v>
      </c>
      <c r="E214" s="31">
        <v>76.319999999999993</v>
      </c>
      <c r="F214" s="32">
        <v>35</v>
      </c>
      <c r="G214" s="29" t="s">
        <v>37</v>
      </c>
    </row>
    <row r="215" spans="1:7" x14ac:dyDescent="0.2">
      <c r="A215" s="29" t="s">
        <v>36</v>
      </c>
      <c r="B215" s="30" t="s">
        <v>485</v>
      </c>
      <c r="C215" s="30" t="s">
        <v>26</v>
      </c>
      <c r="D215" s="30" t="s">
        <v>10</v>
      </c>
      <c r="E215" s="31">
        <v>37.520000000000003</v>
      </c>
      <c r="F215" s="32">
        <v>34</v>
      </c>
      <c r="G215" s="29" t="s">
        <v>417</v>
      </c>
    </row>
    <row r="216" spans="1:7" x14ac:dyDescent="0.2">
      <c r="A216" s="29" t="s">
        <v>382</v>
      </c>
      <c r="B216" s="30" t="s">
        <v>499</v>
      </c>
      <c r="C216" s="30" t="s">
        <v>492</v>
      </c>
      <c r="D216" s="30" t="s">
        <v>16</v>
      </c>
      <c r="E216" s="31">
        <v>124.3</v>
      </c>
      <c r="F216" s="32">
        <v>10</v>
      </c>
      <c r="G216" s="29" t="s">
        <v>383</v>
      </c>
    </row>
    <row r="217" spans="1:7" x14ac:dyDescent="0.2">
      <c r="A217" s="29" t="s">
        <v>190</v>
      </c>
      <c r="B217" s="30" t="s">
        <v>500</v>
      </c>
      <c r="C217" s="30" t="s">
        <v>489</v>
      </c>
      <c r="D217" s="30" t="s">
        <v>16</v>
      </c>
      <c r="E217" s="31">
        <v>1085.26</v>
      </c>
      <c r="F217" s="32">
        <v>5</v>
      </c>
      <c r="G217" s="29" t="s">
        <v>191</v>
      </c>
    </row>
    <row r="218" spans="1:7" x14ac:dyDescent="0.2">
      <c r="A218" s="29" t="s">
        <v>190</v>
      </c>
      <c r="B218" s="30" t="s">
        <v>501</v>
      </c>
      <c r="C218" s="30" t="s">
        <v>26</v>
      </c>
      <c r="D218" s="30" t="s">
        <v>16</v>
      </c>
      <c r="E218" s="31">
        <v>23.33</v>
      </c>
      <c r="F218" s="32">
        <v>60</v>
      </c>
      <c r="G218" s="29" t="s">
        <v>554</v>
      </c>
    </row>
    <row r="219" spans="1:7" x14ac:dyDescent="0.2">
      <c r="A219" s="29" t="s">
        <v>150</v>
      </c>
      <c r="B219" s="30" t="s">
        <v>505</v>
      </c>
      <c r="C219" s="30" t="s">
        <v>483</v>
      </c>
      <c r="D219" s="30" t="s">
        <v>13</v>
      </c>
      <c r="E219" s="31">
        <v>135.96</v>
      </c>
      <c r="F219" s="32">
        <v>20</v>
      </c>
      <c r="G219" s="29" t="s">
        <v>151</v>
      </c>
    </row>
    <row r="220" spans="1:7" x14ac:dyDescent="0.2">
      <c r="A220" s="29" t="s">
        <v>150</v>
      </c>
      <c r="B220" s="30" t="s">
        <v>507</v>
      </c>
      <c r="C220" s="30" t="s">
        <v>492</v>
      </c>
      <c r="D220" s="30" t="s">
        <v>10</v>
      </c>
      <c r="E220" s="31">
        <v>1304.21</v>
      </c>
      <c r="F220" s="32">
        <v>9</v>
      </c>
      <c r="G220" s="29" t="s">
        <v>234</v>
      </c>
    </row>
    <row r="221" spans="1:7" x14ac:dyDescent="0.2">
      <c r="A221" s="29" t="s">
        <v>22</v>
      </c>
      <c r="B221" s="30" t="s">
        <v>23</v>
      </c>
      <c r="C221" s="30" t="s">
        <v>483</v>
      </c>
      <c r="D221" s="30" t="s">
        <v>10</v>
      </c>
      <c r="E221" s="31">
        <v>159.99</v>
      </c>
      <c r="F221" s="32">
        <v>20</v>
      </c>
      <c r="G221" s="29" t="s">
        <v>24</v>
      </c>
    </row>
    <row r="222" spans="1:7" x14ac:dyDescent="0.2">
      <c r="A222" s="29" t="s">
        <v>555</v>
      </c>
      <c r="B222" s="30" t="s">
        <v>501</v>
      </c>
      <c r="C222" s="30" t="s">
        <v>26</v>
      </c>
      <c r="D222" s="30" t="s">
        <v>13</v>
      </c>
      <c r="E222" s="31">
        <v>21.84</v>
      </c>
      <c r="F222" s="32">
        <v>59</v>
      </c>
      <c r="G222" s="29" t="s">
        <v>556</v>
      </c>
    </row>
    <row r="223" spans="1:7" x14ac:dyDescent="0.2">
      <c r="A223" s="29" t="s">
        <v>557</v>
      </c>
      <c r="B223" s="30" t="s">
        <v>496</v>
      </c>
      <c r="C223" s="30" t="s">
        <v>483</v>
      </c>
      <c r="D223" s="30" t="s">
        <v>7</v>
      </c>
      <c r="E223" s="31">
        <v>258.43</v>
      </c>
      <c r="F223" s="32">
        <v>12</v>
      </c>
      <c r="G223" s="29" t="s">
        <v>558</v>
      </c>
    </row>
    <row r="224" spans="1:7" x14ac:dyDescent="0.2">
      <c r="A224" s="29" t="s">
        <v>303</v>
      </c>
      <c r="B224" s="30" t="s">
        <v>504</v>
      </c>
      <c r="C224" s="30" t="s">
        <v>489</v>
      </c>
      <c r="D224" s="30" t="s">
        <v>7</v>
      </c>
      <c r="E224" s="31">
        <v>9.58</v>
      </c>
      <c r="F224" s="32">
        <v>200</v>
      </c>
      <c r="G224" s="29" t="s">
        <v>304</v>
      </c>
    </row>
    <row r="225" spans="1:7" x14ac:dyDescent="0.2">
      <c r="A225" s="29" t="s">
        <v>559</v>
      </c>
      <c r="B225" s="30" t="s">
        <v>484</v>
      </c>
      <c r="C225" s="30" t="s">
        <v>483</v>
      </c>
      <c r="D225" s="30" t="s">
        <v>16</v>
      </c>
      <c r="E225" s="31">
        <v>76.78</v>
      </c>
      <c r="F225" s="32">
        <v>34</v>
      </c>
      <c r="G225" s="29" t="s">
        <v>427</v>
      </c>
    </row>
    <row r="226" spans="1:7" x14ac:dyDescent="0.2">
      <c r="A226" s="29" t="s">
        <v>296</v>
      </c>
      <c r="B226" s="30" t="s">
        <v>516</v>
      </c>
      <c r="C226" s="30" t="s">
        <v>483</v>
      </c>
      <c r="D226" s="30" t="s">
        <v>16</v>
      </c>
      <c r="E226" s="31">
        <v>45.55</v>
      </c>
      <c r="F226" s="32">
        <v>31</v>
      </c>
      <c r="G226" s="29" t="s">
        <v>297</v>
      </c>
    </row>
    <row r="227" spans="1:7" x14ac:dyDescent="0.2">
      <c r="A227" s="29" t="s">
        <v>81</v>
      </c>
      <c r="B227" s="30" t="s">
        <v>516</v>
      </c>
      <c r="C227" s="30" t="s">
        <v>483</v>
      </c>
      <c r="D227" s="30" t="s">
        <v>13</v>
      </c>
      <c r="E227" s="31">
        <v>44.21</v>
      </c>
      <c r="F227" s="32">
        <v>32</v>
      </c>
      <c r="G227" s="29" t="s">
        <v>82</v>
      </c>
    </row>
    <row r="228" spans="1:7" x14ac:dyDescent="0.2">
      <c r="A228" s="29" t="s">
        <v>81</v>
      </c>
      <c r="B228" s="30" t="s">
        <v>504</v>
      </c>
      <c r="C228" s="30" t="s">
        <v>489</v>
      </c>
      <c r="D228" s="30" t="s">
        <v>13</v>
      </c>
      <c r="E228" s="31">
        <v>9.6199999999999992</v>
      </c>
      <c r="F228" s="32">
        <v>199</v>
      </c>
      <c r="G228" s="29" t="s">
        <v>360</v>
      </c>
    </row>
    <row r="229" spans="1:7" x14ac:dyDescent="0.2">
      <c r="A229" s="29" t="s">
        <v>25</v>
      </c>
      <c r="B229" s="30" t="s">
        <v>509</v>
      </c>
      <c r="C229" s="30" t="s">
        <v>26</v>
      </c>
      <c r="D229" s="30" t="s">
        <v>13</v>
      </c>
      <c r="E229" s="31">
        <v>12.99</v>
      </c>
      <c r="F229" s="32">
        <v>100</v>
      </c>
      <c r="G229" s="29" t="s">
        <v>27</v>
      </c>
    </row>
    <row r="230" spans="1:7" x14ac:dyDescent="0.2">
      <c r="A230" s="29" t="s">
        <v>117</v>
      </c>
      <c r="B230" s="30" t="s">
        <v>529</v>
      </c>
      <c r="C230" s="30" t="s">
        <v>489</v>
      </c>
      <c r="D230" s="30" t="s">
        <v>20</v>
      </c>
      <c r="E230" s="31">
        <v>912.76</v>
      </c>
      <c r="F230" s="32">
        <v>15</v>
      </c>
      <c r="G230" s="29" t="s">
        <v>122</v>
      </c>
    </row>
    <row r="231" spans="1:7" x14ac:dyDescent="0.2">
      <c r="A231" s="29" t="s">
        <v>117</v>
      </c>
      <c r="B231" s="30" t="s">
        <v>494</v>
      </c>
      <c r="C231" s="30" t="s">
        <v>483</v>
      </c>
      <c r="D231" s="30" t="s">
        <v>13</v>
      </c>
      <c r="E231" s="31">
        <v>930.92</v>
      </c>
      <c r="F231" s="32">
        <v>14</v>
      </c>
      <c r="G231" s="29" t="s">
        <v>118</v>
      </c>
    </row>
    <row r="232" spans="1:7" x14ac:dyDescent="0.2">
      <c r="A232" s="29" t="s">
        <v>117</v>
      </c>
      <c r="B232" s="30" t="s">
        <v>491</v>
      </c>
      <c r="C232" s="30" t="s">
        <v>492</v>
      </c>
      <c r="D232" s="30" t="s">
        <v>10</v>
      </c>
      <c r="E232" s="31">
        <v>92.35</v>
      </c>
      <c r="F232" s="32">
        <v>11</v>
      </c>
      <c r="G232" s="29" t="s">
        <v>357</v>
      </c>
    </row>
    <row r="233" spans="1:7" x14ac:dyDescent="0.2">
      <c r="A233" s="29" t="s">
        <v>263</v>
      </c>
      <c r="B233" s="30" t="s">
        <v>528</v>
      </c>
      <c r="C233" s="30" t="s">
        <v>483</v>
      </c>
      <c r="D233" s="30" t="s">
        <v>13</v>
      </c>
      <c r="E233" s="31">
        <v>190.29</v>
      </c>
      <c r="F233" s="32">
        <v>6</v>
      </c>
      <c r="G233" s="29" t="s">
        <v>264</v>
      </c>
    </row>
    <row r="234" spans="1:7" x14ac:dyDescent="0.2">
      <c r="A234" s="29" t="s">
        <v>41</v>
      </c>
      <c r="B234" s="30" t="s">
        <v>508</v>
      </c>
      <c r="C234" s="30" t="s">
        <v>26</v>
      </c>
      <c r="D234" s="30" t="s">
        <v>13</v>
      </c>
      <c r="E234" s="31">
        <v>25.24</v>
      </c>
      <c r="F234" s="32">
        <v>19</v>
      </c>
      <c r="G234" s="29" t="s">
        <v>407</v>
      </c>
    </row>
    <row r="235" spans="1:7" x14ac:dyDescent="0.2">
      <c r="A235" s="29" t="s">
        <v>41</v>
      </c>
      <c r="B235" s="30" t="s">
        <v>510</v>
      </c>
      <c r="C235" s="30" t="s">
        <v>492</v>
      </c>
      <c r="D235" s="30" t="s">
        <v>7</v>
      </c>
      <c r="E235" s="31">
        <v>504.98</v>
      </c>
      <c r="F235" s="32">
        <v>13</v>
      </c>
      <c r="G235" s="29" t="s">
        <v>42</v>
      </c>
    </row>
    <row r="236" spans="1:7" x14ac:dyDescent="0.2">
      <c r="A236" s="29" t="s">
        <v>41</v>
      </c>
      <c r="B236" s="30" t="s">
        <v>496</v>
      </c>
      <c r="C236" s="30" t="s">
        <v>483</v>
      </c>
      <c r="D236" s="30" t="s">
        <v>16</v>
      </c>
      <c r="E236" s="31">
        <v>238.22</v>
      </c>
      <c r="F236" s="32">
        <v>12</v>
      </c>
      <c r="G236" s="29" t="s">
        <v>560</v>
      </c>
    </row>
    <row r="237" spans="1:7" x14ac:dyDescent="0.2">
      <c r="A237" s="29" t="s">
        <v>41</v>
      </c>
      <c r="B237" s="30" t="s">
        <v>506</v>
      </c>
      <c r="C237" s="30" t="s">
        <v>492</v>
      </c>
      <c r="D237" s="30" t="s">
        <v>13</v>
      </c>
      <c r="E237" s="31">
        <v>870.81</v>
      </c>
      <c r="F237" s="32">
        <v>3</v>
      </c>
      <c r="G237" s="29" t="s">
        <v>442</v>
      </c>
    </row>
    <row r="238" spans="1:7" x14ac:dyDescent="0.2">
      <c r="A238" s="29" t="s">
        <v>205</v>
      </c>
      <c r="B238" s="30" t="s">
        <v>500</v>
      </c>
      <c r="C238" s="30" t="s">
        <v>489</v>
      </c>
      <c r="D238" s="30" t="s">
        <v>7</v>
      </c>
      <c r="E238" s="31">
        <v>1115.2</v>
      </c>
      <c r="F238" s="32">
        <v>5</v>
      </c>
      <c r="G238" s="29" t="s">
        <v>206</v>
      </c>
    </row>
    <row r="239" spans="1:7" x14ac:dyDescent="0.2">
      <c r="A239" s="29" t="s">
        <v>561</v>
      </c>
      <c r="B239" s="30" t="s">
        <v>519</v>
      </c>
      <c r="C239" s="30" t="s">
        <v>483</v>
      </c>
      <c r="D239" s="30" t="s">
        <v>13</v>
      </c>
      <c r="E239" s="31">
        <v>1157.1199999999999</v>
      </c>
      <c r="F239" s="32">
        <v>8</v>
      </c>
      <c r="G239" s="29" t="s">
        <v>226</v>
      </c>
    </row>
    <row r="240" spans="1:7" x14ac:dyDescent="0.2">
      <c r="A240" s="29" t="s">
        <v>28</v>
      </c>
      <c r="B240" s="30" t="s">
        <v>493</v>
      </c>
      <c r="C240" s="30" t="s">
        <v>26</v>
      </c>
      <c r="D240" s="30" t="s">
        <v>13</v>
      </c>
      <c r="E240" s="31">
        <v>53.28</v>
      </c>
      <c r="F240" s="32">
        <v>24</v>
      </c>
      <c r="G240" s="29" t="s">
        <v>338</v>
      </c>
    </row>
    <row r="241" spans="1:7" x14ac:dyDescent="0.2">
      <c r="A241" s="29" t="s">
        <v>28</v>
      </c>
      <c r="B241" s="30" t="s">
        <v>508</v>
      </c>
      <c r="C241" s="30" t="s">
        <v>26</v>
      </c>
      <c r="D241" s="30" t="s">
        <v>7</v>
      </c>
      <c r="E241" s="31">
        <v>25.99</v>
      </c>
      <c r="F241" s="32">
        <v>50</v>
      </c>
      <c r="G241" s="29" t="s">
        <v>29</v>
      </c>
    </row>
    <row r="242" spans="1:7" x14ac:dyDescent="0.2">
      <c r="A242" s="29" t="s">
        <v>562</v>
      </c>
      <c r="B242" s="30" t="s">
        <v>517</v>
      </c>
      <c r="C242" s="30" t="s">
        <v>483</v>
      </c>
      <c r="D242" s="30" t="s">
        <v>7</v>
      </c>
      <c r="E242" s="31">
        <v>468.49</v>
      </c>
      <c r="F242" s="32">
        <v>10</v>
      </c>
      <c r="G242" s="29" t="s">
        <v>563</v>
      </c>
    </row>
    <row r="243" spans="1:7" x14ac:dyDescent="0.2">
      <c r="A243" s="29" t="s">
        <v>564</v>
      </c>
      <c r="B243" s="30" t="s">
        <v>501</v>
      </c>
      <c r="C243" s="30" t="s">
        <v>26</v>
      </c>
      <c r="D243" s="30" t="s">
        <v>7</v>
      </c>
      <c r="E243" s="31">
        <v>22.99</v>
      </c>
      <c r="F243" s="32">
        <v>57</v>
      </c>
      <c r="G243" s="29" t="s">
        <v>565</v>
      </c>
    </row>
    <row r="244" spans="1:7" x14ac:dyDescent="0.2">
      <c r="A244" s="29" t="s">
        <v>566</v>
      </c>
      <c r="B244" s="30" t="s">
        <v>531</v>
      </c>
      <c r="C244" s="30" t="s">
        <v>26</v>
      </c>
      <c r="D244" s="30" t="s">
        <v>10</v>
      </c>
      <c r="E244" s="31">
        <v>13.82</v>
      </c>
      <c r="F244" s="32">
        <v>93</v>
      </c>
      <c r="G244" s="29" t="s">
        <v>344</v>
      </c>
    </row>
    <row r="245" spans="1:7" x14ac:dyDescent="0.2">
      <c r="A245" s="29" t="s">
        <v>156</v>
      </c>
      <c r="B245" s="30" t="s">
        <v>504</v>
      </c>
      <c r="C245" s="30" t="s">
        <v>489</v>
      </c>
      <c r="D245" s="30" t="s">
        <v>20</v>
      </c>
      <c r="E245" s="31">
        <v>9.73</v>
      </c>
      <c r="F245" s="32">
        <v>199</v>
      </c>
      <c r="G245" s="29" t="s">
        <v>157</v>
      </c>
    </row>
    <row r="246" spans="1:7" x14ac:dyDescent="0.2">
      <c r="A246" s="29" t="s">
        <v>171</v>
      </c>
      <c r="B246" s="30" t="s">
        <v>498</v>
      </c>
      <c r="C246" s="30" t="s">
        <v>489</v>
      </c>
      <c r="D246" s="30" t="s">
        <v>13</v>
      </c>
      <c r="E246" s="31">
        <v>20.75</v>
      </c>
      <c r="F246" s="32">
        <v>117</v>
      </c>
      <c r="G246" s="29" t="s">
        <v>172</v>
      </c>
    </row>
    <row r="247" spans="1:7" x14ac:dyDescent="0.2">
      <c r="A247" s="29" t="s">
        <v>47</v>
      </c>
      <c r="B247" s="30" t="s">
        <v>514</v>
      </c>
      <c r="C247" s="30" t="s">
        <v>26</v>
      </c>
      <c r="D247" s="30" t="s">
        <v>7</v>
      </c>
      <c r="E247" s="31">
        <v>18.73</v>
      </c>
      <c r="F247" s="32">
        <v>81</v>
      </c>
      <c r="G247" s="29" t="s">
        <v>48</v>
      </c>
    </row>
    <row r="248" spans="1:7" x14ac:dyDescent="0.2">
      <c r="A248" s="29" t="s">
        <v>47</v>
      </c>
      <c r="B248" s="30" t="s">
        <v>499</v>
      </c>
      <c r="C248" s="30" t="s">
        <v>492</v>
      </c>
      <c r="D248" s="30" t="s">
        <v>20</v>
      </c>
      <c r="E248" s="31">
        <v>118.06</v>
      </c>
      <c r="F248" s="32">
        <v>14</v>
      </c>
      <c r="G248" s="29" t="s">
        <v>221</v>
      </c>
    </row>
    <row r="249" spans="1:7" x14ac:dyDescent="0.2">
      <c r="A249" s="29" t="s">
        <v>47</v>
      </c>
      <c r="B249" s="30" t="s">
        <v>509</v>
      </c>
      <c r="C249" s="30" t="s">
        <v>26</v>
      </c>
      <c r="D249" s="30" t="s">
        <v>13</v>
      </c>
      <c r="E249" s="31">
        <v>13.28</v>
      </c>
      <c r="F249" s="32">
        <v>101</v>
      </c>
      <c r="G249" s="29" t="s">
        <v>314</v>
      </c>
    </row>
    <row r="250" spans="1:7" x14ac:dyDescent="0.2">
      <c r="A250" s="29" t="s">
        <v>47</v>
      </c>
      <c r="B250" s="30" t="s">
        <v>500</v>
      </c>
      <c r="C250" s="30" t="s">
        <v>489</v>
      </c>
      <c r="D250" s="30" t="s">
        <v>20</v>
      </c>
      <c r="E250" s="31">
        <v>1060.28</v>
      </c>
      <c r="F250" s="32">
        <v>50</v>
      </c>
      <c r="G250" s="29" t="s">
        <v>352</v>
      </c>
    </row>
    <row r="251" spans="1:7" x14ac:dyDescent="0.2">
      <c r="A251" s="29" t="s">
        <v>30</v>
      </c>
      <c r="B251" s="30" t="s">
        <v>509</v>
      </c>
      <c r="C251" s="30" t="s">
        <v>26</v>
      </c>
      <c r="D251" s="30" t="s">
        <v>16</v>
      </c>
      <c r="E251" s="31">
        <v>18.5</v>
      </c>
      <c r="F251" s="32">
        <v>45</v>
      </c>
      <c r="G251" s="29" t="s">
        <v>31</v>
      </c>
    </row>
    <row r="252" spans="1:7" x14ac:dyDescent="0.2">
      <c r="A252" s="29" t="s">
        <v>79</v>
      </c>
      <c r="B252" s="30" t="s">
        <v>506</v>
      </c>
      <c r="C252" s="30" t="s">
        <v>492</v>
      </c>
      <c r="D252" s="30" t="s">
        <v>10</v>
      </c>
      <c r="E252" s="31">
        <v>829.39</v>
      </c>
      <c r="F252" s="32">
        <v>1</v>
      </c>
      <c r="G252" s="29" t="s">
        <v>80</v>
      </c>
    </row>
    <row r="253" spans="1:7" x14ac:dyDescent="0.2">
      <c r="A253" s="29" t="s">
        <v>75</v>
      </c>
      <c r="B253" s="30" t="s">
        <v>493</v>
      </c>
      <c r="C253" s="30" t="s">
        <v>26</v>
      </c>
      <c r="D253" s="30" t="s">
        <v>10</v>
      </c>
      <c r="E253" s="31">
        <v>53.61</v>
      </c>
      <c r="F253" s="32">
        <v>23</v>
      </c>
      <c r="G253" s="29" t="s">
        <v>76</v>
      </c>
    </row>
    <row r="254" spans="1:7" x14ac:dyDescent="0.2">
      <c r="A254" s="29" t="s">
        <v>75</v>
      </c>
      <c r="B254" s="30" t="s">
        <v>509</v>
      </c>
      <c r="C254" s="30" t="s">
        <v>26</v>
      </c>
      <c r="D254" s="30" t="s">
        <v>16</v>
      </c>
      <c r="E254" s="31">
        <v>13.19</v>
      </c>
      <c r="F254" s="32">
        <v>97</v>
      </c>
      <c r="G254" s="29" t="s">
        <v>184</v>
      </c>
    </row>
    <row r="255" spans="1:7" x14ac:dyDescent="0.2">
      <c r="A255" s="29" t="s">
        <v>224</v>
      </c>
      <c r="B255" s="30" t="s">
        <v>499</v>
      </c>
      <c r="C255" s="30" t="s">
        <v>492</v>
      </c>
      <c r="D255" s="30" t="s">
        <v>10</v>
      </c>
      <c r="E255" s="31">
        <v>123.02</v>
      </c>
      <c r="F255" s="32">
        <v>10</v>
      </c>
      <c r="G255" s="29" t="s">
        <v>225</v>
      </c>
    </row>
    <row r="256" spans="1:7" x14ac:dyDescent="0.2">
      <c r="A256" s="29" t="s">
        <v>224</v>
      </c>
      <c r="B256" s="30" t="s">
        <v>529</v>
      </c>
      <c r="C256" s="30" t="s">
        <v>489</v>
      </c>
      <c r="D256" s="30" t="s">
        <v>20</v>
      </c>
      <c r="E256" s="31">
        <v>861.71</v>
      </c>
      <c r="F256" s="32">
        <v>14</v>
      </c>
      <c r="G256" s="29" t="s">
        <v>361</v>
      </c>
    </row>
    <row r="257" spans="1:7" x14ac:dyDescent="0.2">
      <c r="A257" s="29" t="s">
        <v>435</v>
      </c>
      <c r="B257" s="30" t="s">
        <v>491</v>
      </c>
      <c r="C257" s="30" t="s">
        <v>492</v>
      </c>
      <c r="D257" s="30" t="s">
        <v>16</v>
      </c>
      <c r="E257" s="31">
        <v>95.8</v>
      </c>
      <c r="F257" s="32">
        <v>10</v>
      </c>
      <c r="G257" s="29" t="s">
        <v>436</v>
      </c>
    </row>
    <row r="258" spans="1:7" x14ac:dyDescent="0.2">
      <c r="A258" s="29" t="s">
        <v>60</v>
      </c>
      <c r="B258" s="30" t="s">
        <v>516</v>
      </c>
      <c r="C258" s="30" t="s">
        <v>483</v>
      </c>
      <c r="D258" s="30" t="s">
        <v>13</v>
      </c>
      <c r="E258" s="31">
        <v>43.26</v>
      </c>
      <c r="F258" s="32">
        <v>33</v>
      </c>
      <c r="G258" s="29" t="s">
        <v>61</v>
      </c>
    </row>
    <row r="259" spans="1:7" x14ac:dyDescent="0.2">
      <c r="A259" s="29" t="s">
        <v>60</v>
      </c>
      <c r="B259" s="30" t="s">
        <v>488</v>
      </c>
      <c r="C259" s="30" t="s">
        <v>489</v>
      </c>
      <c r="D259" s="30" t="s">
        <v>7</v>
      </c>
      <c r="E259" s="31">
        <v>312.25</v>
      </c>
      <c r="F259" s="32">
        <v>5</v>
      </c>
      <c r="G259" s="29" t="s">
        <v>145</v>
      </c>
    </row>
    <row r="260" spans="1:7" x14ac:dyDescent="0.2">
      <c r="A260" s="29" t="s">
        <v>32</v>
      </c>
      <c r="B260" s="30" t="s">
        <v>485</v>
      </c>
      <c r="C260" s="30" t="s">
        <v>26</v>
      </c>
      <c r="D260" s="30" t="s">
        <v>20</v>
      </c>
      <c r="E260" s="31">
        <v>35.99</v>
      </c>
      <c r="F260" s="32">
        <v>30</v>
      </c>
      <c r="G260" s="29" t="s">
        <v>33</v>
      </c>
    </row>
    <row r="261" spans="1:7" x14ac:dyDescent="0.2">
      <c r="A261" s="29" t="s">
        <v>83</v>
      </c>
      <c r="B261" s="30" t="s">
        <v>485</v>
      </c>
      <c r="C261" s="30" t="s">
        <v>26</v>
      </c>
      <c r="D261" s="30" t="s">
        <v>10</v>
      </c>
      <c r="E261" s="31">
        <v>36.61</v>
      </c>
      <c r="F261" s="32">
        <v>27</v>
      </c>
      <c r="G261" s="29" t="s">
        <v>84</v>
      </c>
    </row>
    <row r="262" spans="1:7" x14ac:dyDescent="0.2">
      <c r="A262" s="29" t="s">
        <v>365</v>
      </c>
      <c r="B262" s="30" t="s">
        <v>510</v>
      </c>
      <c r="C262" s="30" t="s">
        <v>492</v>
      </c>
      <c r="D262" s="30" t="s">
        <v>13</v>
      </c>
      <c r="E262" s="31">
        <v>495.25</v>
      </c>
      <c r="F262" s="32">
        <v>10</v>
      </c>
      <c r="G262" s="29" t="s">
        <v>366</v>
      </c>
    </row>
    <row r="263" spans="1:7" x14ac:dyDescent="0.2">
      <c r="A263" s="29" t="s">
        <v>141</v>
      </c>
      <c r="B263" s="30" t="s">
        <v>531</v>
      </c>
      <c r="C263" s="30" t="s">
        <v>26</v>
      </c>
      <c r="D263" s="30" t="s">
        <v>10</v>
      </c>
      <c r="E263" s="31">
        <v>14.63</v>
      </c>
      <c r="F263" s="32">
        <v>91</v>
      </c>
      <c r="G263" s="29" t="s">
        <v>142</v>
      </c>
    </row>
    <row r="264" spans="1:7" x14ac:dyDescent="0.2">
      <c r="A264" s="29" t="s">
        <v>567</v>
      </c>
      <c r="B264" s="30" t="s">
        <v>482</v>
      </c>
      <c r="C264" s="30" t="s">
        <v>483</v>
      </c>
      <c r="D264" s="30" t="s">
        <v>16</v>
      </c>
      <c r="E264" s="31">
        <v>90.16</v>
      </c>
      <c r="F264" s="32">
        <v>25</v>
      </c>
      <c r="G264" s="29" t="s">
        <v>369</v>
      </c>
    </row>
    <row r="265" spans="1:7" x14ac:dyDescent="0.2">
      <c r="A265" s="29" t="s">
        <v>72</v>
      </c>
      <c r="B265" s="30" t="s">
        <v>528</v>
      </c>
      <c r="C265" s="30" t="s">
        <v>483</v>
      </c>
      <c r="D265" s="30" t="s">
        <v>13</v>
      </c>
      <c r="E265" s="31">
        <v>199.05</v>
      </c>
      <c r="F265" s="32">
        <v>12</v>
      </c>
      <c r="G265" s="29" t="s">
        <v>73</v>
      </c>
    </row>
    <row r="266" spans="1:7" x14ac:dyDescent="0.2">
      <c r="A266" s="29" t="s">
        <v>175</v>
      </c>
      <c r="B266" s="33" t="s">
        <v>499</v>
      </c>
      <c r="C266" s="30" t="s">
        <v>492</v>
      </c>
      <c r="D266" s="30" t="s">
        <v>20</v>
      </c>
      <c r="E266" s="31">
        <v>120.4</v>
      </c>
      <c r="F266" s="32">
        <v>16</v>
      </c>
      <c r="G266" s="29" t="s">
        <v>176</v>
      </c>
    </row>
    <row r="267" spans="1:7" x14ac:dyDescent="0.2">
      <c r="A267" s="29" t="s">
        <v>253</v>
      </c>
      <c r="B267" s="30" t="s">
        <v>509</v>
      </c>
      <c r="C267" s="30" t="s">
        <v>26</v>
      </c>
      <c r="D267" s="30" t="s">
        <v>7</v>
      </c>
      <c r="E267" s="31">
        <v>13.08</v>
      </c>
      <c r="F267" s="32">
        <v>103</v>
      </c>
      <c r="G267" s="29" t="s">
        <v>254</v>
      </c>
    </row>
    <row r="268" spans="1:7" x14ac:dyDescent="0.2">
      <c r="A268" s="29" t="s">
        <v>301</v>
      </c>
      <c r="B268" s="30" t="s">
        <v>508</v>
      </c>
      <c r="C268" s="30" t="s">
        <v>26</v>
      </c>
      <c r="D268" s="30" t="s">
        <v>20</v>
      </c>
      <c r="E268" s="31">
        <v>24.93</v>
      </c>
      <c r="F268" s="32">
        <v>48</v>
      </c>
      <c r="G268" s="29" t="s">
        <v>302</v>
      </c>
    </row>
    <row r="269" spans="1:7" x14ac:dyDescent="0.2">
      <c r="A269" s="29" t="s">
        <v>319</v>
      </c>
      <c r="B269" s="30" t="s">
        <v>500</v>
      </c>
      <c r="C269" s="30" t="s">
        <v>489</v>
      </c>
      <c r="D269" s="30" t="s">
        <v>16</v>
      </c>
      <c r="E269" s="31">
        <v>1120.5999999999999</v>
      </c>
      <c r="F269" s="32">
        <v>4</v>
      </c>
      <c r="G269" s="29" t="s">
        <v>320</v>
      </c>
    </row>
    <row r="270" spans="1:7" x14ac:dyDescent="0.2">
      <c r="A270" s="29" t="s">
        <v>123</v>
      </c>
      <c r="B270" s="30" t="s">
        <v>543</v>
      </c>
      <c r="C270" s="30" t="s">
        <v>483</v>
      </c>
      <c r="D270" s="30" t="s">
        <v>7</v>
      </c>
      <c r="E270" s="31">
        <v>115.26</v>
      </c>
      <c r="F270" s="32">
        <v>8</v>
      </c>
      <c r="G270" s="29" t="s">
        <v>124</v>
      </c>
    </row>
    <row r="271" spans="1:7" x14ac:dyDescent="0.2">
      <c r="A271" s="29" t="s">
        <v>409</v>
      </c>
      <c r="B271" s="30" t="s">
        <v>500</v>
      </c>
      <c r="C271" s="30" t="s">
        <v>489</v>
      </c>
      <c r="D271" s="30" t="s">
        <v>7</v>
      </c>
      <c r="E271" s="31">
        <v>1085.6199999999999</v>
      </c>
      <c r="F271" s="32">
        <v>7</v>
      </c>
      <c r="G271" s="29" t="s">
        <v>410</v>
      </c>
    </row>
    <row r="272" spans="1:7" x14ac:dyDescent="0.2">
      <c r="A272" s="29" t="s">
        <v>409</v>
      </c>
      <c r="B272" s="30" t="s">
        <v>500</v>
      </c>
      <c r="C272" s="30" t="s">
        <v>489</v>
      </c>
      <c r="D272" s="30" t="s">
        <v>20</v>
      </c>
      <c r="E272" s="31">
        <v>1085.6199999999999</v>
      </c>
      <c r="F272" s="32">
        <v>7</v>
      </c>
      <c r="G272" s="29" t="s">
        <v>411</v>
      </c>
    </row>
    <row r="273" spans="1:7" x14ac:dyDescent="0.2">
      <c r="A273" s="29" t="s">
        <v>409</v>
      </c>
      <c r="B273" s="30" t="s">
        <v>526</v>
      </c>
      <c r="C273" s="30" t="s">
        <v>26</v>
      </c>
      <c r="D273" s="30" t="s">
        <v>10</v>
      </c>
      <c r="E273" s="31">
        <v>41.3</v>
      </c>
      <c r="F273" s="32">
        <v>48</v>
      </c>
      <c r="G273" s="29" t="s">
        <v>40</v>
      </c>
    </row>
    <row r="274" spans="1:7" x14ac:dyDescent="0.2">
      <c r="A274" s="29" t="s">
        <v>568</v>
      </c>
      <c r="B274" s="30" t="s">
        <v>500</v>
      </c>
      <c r="C274" s="30" t="s">
        <v>489</v>
      </c>
      <c r="D274" s="30" t="s">
        <v>7</v>
      </c>
      <c r="E274" s="31">
        <v>1150.94</v>
      </c>
      <c r="F274" s="32">
        <v>10</v>
      </c>
      <c r="G274" s="29" t="s">
        <v>441</v>
      </c>
    </row>
    <row r="275" spans="1:7" x14ac:dyDescent="0.2">
      <c r="A275" s="29" t="s">
        <v>363</v>
      </c>
      <c r="B275" s="30" t="s">
        <v>507</v>
      </c>
      <c r="C275" s="30" t="s">
        <v>492</v>
      </c>
      <c r="D275" s="30" t="s">
        <v>13</v>
      </c>
      <c r="E275" s="31">
        <v>1340.88</v>
      </c>
      <c r="F275" s="32">
        <v>6</v>
      </c>
      <c r="G275" s="29" t="s">
        <v>364</v>
      </c>
    </row>
    <row r="276" spans="1:7" x14ac:dyDescent="0.2">
      <c r="A276" s="29" t="s">
        <v>363</v>
      </c>
      <c r="B276" s="30" t="s">
        <v>493</v>
      </c>
      <c r="C276" s="30" t="s">
        <v>26</v>
      </c>
      <c r="D276" s="30" t="s">
        <v>10</v>
      </c>
      <c r="E276" s="31">
        <v>53.03</v>
      </c>
      <c r="F276" s="32">
        <v>21</v>
      </c>
      <c r="G276" s="29" t="s">
        <v>236</v>
      </c>
    </row>
    <row r="277" spans="1:7" x14ac:dyDescent="0.2">
      <c r="A277" s="29" t="s">
        <v>363</v>
      </c>
      <c r="B277" s="30" t="s">
        <v>512</v>
      </c>
      <c r="C277" s="30" t="s">
        <v>483</v>
      </c>
      <c r="D277" s="30" t="s">
        <v>13</v>
      </c>
      <c r="E277" s="31">
        <v>82.05</v>
      </c>
      <c r="F277" s="32">
        <v>44</v>
      </c>
      <c r="G277" s="29" t="s">
        <v>241</v>
      </c>
    </row>
    <row r="278" spans="1:7" x14ac:dyDescent="0.2">
      <c r="A278" s="29" t="s">
        <v>569</v>
      </c>
      <c r="B278" s="30" t="s">
        <v>519</v>
      </c>
      <c r="C278" s="30" t="s">
        <v>483</v>
      </c>
      <c r="D278" s="30" t="s">
        <v>16</v>
      </c>
      <c r="E278" s="31">
        <v>1220.3599999999999</v>
      </c>
      <c r="F278" s="32">
        <v>5</v>
      </c>
      <c r="G278" s="29" t="s">
        <v>138</v>
      </c>
    </row>
    <row r="279" spans="1:7" x14ac:dyDescent="0.2">
      <c r="A279" s="29" t="s">
        <v>64</v>
      </c>
      <c r="B279" s="30" t="s">
        <v>506</v>
      </c>
      <c r="C279" s="30" t="s">
        <v>492</v>
      </c>
      <c r="D279" s="30" t="s">
        <v>13</v>
      </c>
      <c r="E279" s="31">
        <v>834.48</v>
      </c>
      <c r="F279" s="32">
        <v>2</v>
      </c>
      <c r="G279" s="29" t="s">
        <v>65</v>
      </c>
    </row>
    <row r="280" spans="1:7" x14ac:dyDescent="0.2">
      <c r="A280" s="29" t="s">
        <v>90</v>
      </c>
      <c r="B280" s="30" t="s">
        <v>529</v>
      </c>
      <c r="C280" s="30" t="s">
        <v>489</v>
      </c>
      <c r="D280" s="30" t="s">
        <v>20</v>
      </c>
      <c r="E280" s="31">
        <v>896.37</v>
      </c>
      <c r="F280" s="32">
        <v>7</v>
      </c>
      <c r="G280" s="29" t="s">
        <v>91</v>
      </c>
    </row>
    <row r="281" spans="1:7" x14ac:dyDescent="0.2">
      <c r="A281" s="29" t="s">
        <v>90</v>
      </c>
      <c r="B281" s="30" t="s">
        <v>506</v>
      </c>
      <c r="C281" s="30" t="s">
        <v>492</v>
      </c>
      <c r="D281" s="30" t="s">
        <v>7</v>
      </c>
      <c r="E281" s="31">
        <v>865</v>
      </c>
      <c r="F281" s="32">
        <v>7</v>
      </c>
      <c r="G281" s="29" t="s">
        <v>381</v>
      </c>
    </row>
    <row r="282" spans="1:7" x14ac:dyDescent="0.2">
      <c r="A282" s="29" t="s">
        <v>90</v>
      </c>
      <c r="B282" s="30" t="s">
        <v>510</v>
      </c>
      <c r="C282" s="30" t="s">
        <v>492</v>
      </c>
      <c r="D282" s="30" t="s">
        <v>20</v>
      </c>
      <c r="E282" s="31">
        <v>490.24</v>
      </c>
      <c r="F282" s="32">
        <v>13</v>
      </c>
      <c r="G282" s="29" t="s">
        <v>324</v>
      </c>
    </row>
    <row r="283" spans="1:7" x14ac:dyDescent="0.2">
      <c r="A283" s="29" t="s">
        <v>55</v>
      </c>
      <c r="B283" s="30" t="s">
        <v>512</v>
      </c>
      <c r="C283" s="30" t="s">
        <v>483</v>
      </c>
      <c r="D283" s="30" t="s">
        <v>20</v>
      </c>
      <c r="E283" s="31">
        <v>82.92</v>
      </c>
      <c r="F283" s="32">
        <v>22</v>
      </c>
      <c r="G283" s="29" t="s">
        <v>56</v>
      </c>
    </row>
    <row r="284" spans="1:7" x14ac:dyDescent="0.2">
      <c r="A284" s="29" t="s">
        <v>51</v>
      </c>
      <c r="B284" s="30" t="s">
        <v>526</v>
      </c>
      <c r="C284" s="30" t="s">
        <v>26</v>
      </c>
      <c r="D284" s="30" t="s">
        <v>10</v>
      </c>
      <c r="E284" s="31">
        <v>38.53</v>
      </c>
      <c r="F284" s="32">
        <v>46</v>
      </c>
      <c r="G284" s="29" t="s">
        <v>52</v>
      </c>
    </row>
    <row r="285" spans="1:7" x14ac:dyDescent="0.2">
      <c r="A285" s="29" t="s">
        <v>570</v>
      </c>
      <c r="B285" s="30" t="s">
        <v>509</v>
      </c>
      <c r="C285" s="30" t="s">
        <v>26</v>
      </c>
      <c r="D285" s="30" t="s">
        <v>10</v>
      </c>
      <c r="E285" s="31">
        <v>12.68</v>
      </c>
      <c r="F285" s="32">
        <v>105</v>
      </c>
      <c r="G285" s="29" t="s">
        <v>237</v>
      </c>
    </row>
    <row r="286" spans="1:7" x14ac:dyDescent="0.2">
      <c r="A286" s="29" t="s">
        <v>571</v>
      </c>
      <c r="B286" s="30" t="s">
        <v>510</v>
      </c>
      <c r="C286" s="30" t="s">
        <v>492</v>
      </c>
      <c r="D286" s="30" t="s">
        <v>13</v>
      </c>
      <c r="E286" s="31">
        <v>521.27</v>
      </c>
      <c r="F286" s="32">
        <v>20</v>
      </c>
      <c r="G286" s="29" t="s">
        <v>321</v>
      </c>
    </row>
    <row r="287" spans="1:7" x14ac:dyDescent="0.2">
      <c r="A287" s="29" t="s">
        <v>148</v>
      </c>
      <c r="B287" s="30" t="s">
        <v>512</v>
      </c>
      <c r="C287" s="30" t="s">
        <v>483</v>
      </c>
      <c r="D287" s="30" t="s">
        <v>20</v>
      </c>
      <c r="E287" s="31">
        <v>89.43</v>
      </c>
      <c r="F287" s="32">
        <v>45</v>
      </c>
      <c r="G287" s="29" t="s">
        <v>149</v>
      </c>
    </row>
    <row r="288" spans="1:7" x14ac:dyDescent="0.2">
      <c r="A288" s="29" t="s">
        <v>148</v>
      </c>
      <c r="B288" s="30" t="s">
        <v>510</v>
      </c>
      <c r="C288" s="30" t="s">
        <v>492</v>
      </c>
      <c r="D288" s="30" t="s">
        <v>13</v>
      </c>
      <c r="E288" s="31">
        <v>505.95</v>
      </c>
      <c r="F288" s="32">
        <v>23</v>
      </c>
      <c r="G288" s="29" t="s">
        <v>125</v>
      </c>
    </row>
    <row r="289" spans="1:7" x14ac:dyDescent="0.2">
      <c r="A289" s="29" t="s">
        <v>572</v>
      </c>
      <c r="B289" s="30" t="s">
        <v>529</v>
      </c>
      <c r="C289" s="30" t="s">
        <v>489</v>
      </c>
      <c r="D289" s="30" t="s">
        <v>13</v>
      </c>
      <c r="E289" s="31">
        <v>913.94</v>
      </c>
      <c r="F289" s="32">
        <v>12</v>
      </c>
      <c r="G289" s="29" t="s">
        <v>401</v>
      </c>
    </row>
    <row r="290" spans="1:7" x14ac:dyDescent="0.2">
      <c r="A290" s="29" t="s">
        <v>573</v>
      </c>
      <c r="B290" s="30" t="s">
        <v>514</v>
      </c>
      <c r="C290" s="30" t="s">
        <v>26</v>
      </c>
      <c r="D290" s="30" t="s">
        <v>7</v>
      </c>
      <c r="E290" s="31">
        <v>19.84</v>
      </c>
      <c r="F290" s="32">
        <v>81</v>
      </c>
      <c r="G290" s="29" t="s">
        <v>349</v>
      </c>
    </row>
    <row r="291" spans="1:7" x14ac:dyDescent="0.2">
      <c r="A291" s="29" t="s">
        <v>573</v>
      </c>
      <c r="B291" s="30" t="s">
        <v>543</v>
      </c>
      <c r="C291" s="30" t="s">
        <v>483</v>
      </c>
      <c r="D291" s="30" t="s">
        <v>7</v>
      </c>
      <c r="E291" s="31">
        <v>114.25</v>
      </c>
      <c r="F291" s="32">
        <v>26</v>
      </c>
      <c r="G291" s="29" t="s">
        <v>371</v>
      </c>
    </row>
    <row r="292" spans="1:7" x14ac:dyDescent="0.2">
      <c r="A292" s="29" t="s">
        <v>573</v>
      </c>
      <c r="B292" s="30" t="s">
        <v>510</v>
      </c>
      <c r="C292" s="30" t="s">
        <v>492</v>
      </c>
      <c r="D292" s="30" t="s">
        <v>7</v>
      </c>
      <c r="E292" s="31">
        <v>485.55</v>
      </c>
      <c r="F292" s="32">
        <v>12</v>
      </c>
      <c r="G292" s="29" t="s">
        <v>46</v>
      </c>
    </row>
    <row r="293" spans="1:7" x14ac:dyDescent="0.2">
      <c r="A293" s="29" t="s">
        <v>179</v>
      </c>
      <c r="B293" s="30" t="s">
        <v>521</v>
      </c>
      <c r="C293" s="30" t="s">
        <v>489</v>
      </c>
      <c r="D293" s="30" t="s">
        <v>13</v>
      </c>
      <c r="E293" s="31">
        <v>558</v>
      </c>
      <c r="F293" s="32">
        <v>20</v>
      </c>
      <c r="G293" s="29" t="s">
        <v>180</v>
      </c>
    </row>
    <row r="294" spans="1:7" x14ac:dyDescent="0.2">
      <c r="A294" s="29" t="s">
        <v>179</v>
      </c>
      <c r="B294" s="30" t="s">
        <v>488</v>
      </c>
      <c r="C294" s="30" t="s">
        <v>489</v>
      </c>
      <c r="D294" s="30" t="s">
        <v>7</v>
      </c>
      <c r="E294" s="31">
        <v>308.86</v>
      </c>
      <c r="F294" s="32">
        <v>28</v>
      </c>
      <c r="G294" s="29" t="s">
        <v>260</v>
      </c>
    </row>
    <row r="295" spans="1:7" x14ac:dyDescent="0.2">
      <c r="A295" s="29" t="s">
        <v>179</v>
      </c>
      <c r="B295" s="30" t="s">
        <v>508</v>
      </c>
      <c r="C295" s="30" t="s">
        <v>26</v>
      </c>
      <c r="D295" s="30" t="s">
        <v>13</v>
      </c>
      <c r="E295" s="31">
        <v>24.97</v>
      </c>
      <c r="F295" s="32">
        <v>55</v>
      </c>
      <c r="G295" s="29" t="s">
        <v>404</v>
      </c>
    </row>
    <row r="296" spans="1:7" x14ac:dyDescent="0.2">
      <c r="A296" s="29" t="s">
        <v>214</v>
      </c>
      <c r="B296" s="33" t="s">
        <v>499</v>
      </c>
      <c r="C296" s="30" t="s">
        <v>492</v>
      </c>
      <c r="D296" s="30" t="s">
        <v>10</v>
      </c>
      <c r="E296" s="31">
        <v>119.76</v>
      </c>
      <c r="F296" s="32">
        <v>10</v>
      </c>
      <c r="G296" s="29" t="s">
        <v>215</v>
      </c>
    </row>
    <row r="297" spans="1:7" x14ac:dyDescent="0.2">
      <c r="A297" s="29" t="s">
        <v>154</v>
      </c>
      <c r="B297" s="30" t="s">
        <v>519</v>
      </c>
      <c r="C297" s="30" t="s">
        <v>483</v>
      </c>
      <c r="D297" s="30" t="s">
        <v>16</v>
      </c>
      <c r="E297" s="31">
        <v>1178.3800000000001</v>
      </c>
      <c r="F297" s="32">
        <v>7</v>
      </c>
      <c r="G297" s="29" t="s">
        <v>329</v>
      </c>
    </row>
    <row r="298" spans="1:7" x14ac:dyDescent="0.2">
      <c r="A298" s="29" t="s">
        <v>154</v>
      </c>
      <c r="B298" s="30" t="s">
        <v>526</v>
      </c>
      <c r="C298" s="30" t="s">
        <v>26</v>
      </c>
      <c r="D298" s="30" t="s">
        <v>20</v>
      </c>
      <c r="E298" s="31">
        <v>40.57</v>
      </c>
      <c r="F298" s="32">
        <v>45</v>
      </c>
      <c r="G298" s="29" t="s">
        <v>155</v>
      </c>
    </row>
    <row r="299" spans="1:7" x14ac:dyDescent="0.2">
      <c r="A299" s="29" t="s">
        <v>154</v>
      </c>
      <c r="B299" s="30" t="s">
        <v>510</v>
      </c>
      <c r="C299" s="30" t="s">
        <v>492</v>
      </c>
      <c r="D299" s="30" t="s">
        <v>16</v>
      </c>
      <c r="E299" s="31">
        <v>477.94</v>
      </c>
      <c r="F299" s="32">
        <v>14</v>
      </c>
      <c r="G299" s="29" t="s">
        <v>99</v>
      </c>
    </row>
    <row r="300" spans="1:7" x14ac:dyDescent="0.2">
      <c r="A300" s="29" t="s">
        <v>291</v>
      </c>
      <c r="B300" s="30" t="s">
        <v>529</v>
      </c>
      <c r="C300" s="30" t="s">
        <v>489</v>
      </c>
      <c r="D300" s="30" t="s">
        <v>16</v>
      </c>
      <c r="E300" s="31">
        <v>912.13</v>
      </c>
      <c r="F300" s="32">
        <v>9</v>
      </c>
      <c r="G300" s="29" t="s">
        <v>292</v>
      </c>
    </row>
    <row r="301" spans="1:7" x14ac:dyDescent="0.2">
      <c r="A301" s="29" t="s">
        <v>291</v>
      </c>
      <c r="B301" s="30" t="s">
        <v>501</v>
      </c>
      <c r="C301" s="30" t="s">
        <v>26</v>
      </c>
      <c r="D301" s="30" t="s">
        <v>16</v>
      </c>
      <c r="E301" s="31">
        <v>23.33</v>
      </c>
      <c r="F301" s="32">
        <v>10</v>
      </c>
      <c r="G301" s="29" t="s">
        <v>574</v>
      </c>
    </row>
    <row r="302" spans="1:7" x14ac:dyDescent="0.2">
      <c r="A302" s="29" t="s">
        <v>66</v>
      </c>
      <c r="B302" s="30" t="s">
        <v>494</v>
      </c>
      <c r="C302" s="30" t="s">
        <v>483</v>
      </c>
      <c r="D302" s="30" t="s">
        <v>10</v>
      </c>
      <c r="E302" s="31">
        <v>907.36</v>
      </c>
      <c r="F302" s="32">
        <v>15</v>
      </c>
      <c r="G302" s="29" t="s">
        <v>199</v>
      </c>
    </row>
    <row r="303" spans="1:7" x14ac:dyDescent="0.2">
      <c r="A303" s="29" t="s">
        <v>66</v>
      </c>
      <c r="B303" s="30" t="s">
        <v>506</v>
      </c>
      <c r="C303" s="30" t="s">
        <v>492</v>
      </c>
      <c r="D303" s="30" t="s">
        <v>16</v>
      </c>
      <c r="E303" s="31">
        <v>872.69</v>
      </c>
      <c r="F303" s="32">
        <v>7</v>
      </c>
      <c r="G303" s="29" t="s">
        <v>67</v>
      </c>
    </row>
    <row r="304" spans="1:7" x14ac:dyDescent="0.2">
      <c r="A304" s="29" t="s">
        <v>575</v>
      </c>
      <c r="B304" s="30" t="s">
        <v>512</v>
      </c>
      <c r="C304" s="30" t="s">
        <v>483</v>
      </c>
      <c r="D304" s="30" t="s">
        <v>16</v>
      </c>
      <c r="E304" s="31">
        <v>90.03</v>
      </c>
      <c r="F304" s="32">
        <v>45</v>
      </c>
      <c r="G304" s="29" t="s">
        <v>374</v>
      </c>
    </row>
    <row r="305" spans="1:7" x14ac:dyDescent="0.2">
      <c r="A305" s="29" t="s">
        <v>207</v>
      </c>
      <c r="B305" s="30" t="s">
        <v>500</v>
      </c>
      <c r="C305" s="30" t="s">
        <v>489</v>
      </c>
      <c r="D305" s="30" t="s">
        <v>10</v>
      </c>
      <c r="E305" s="31">
        <v>1121.92</v>
      </c>
      <c r="F305" s="32">
        <v>12</v>
      </c>
      <c r="G305" s="29" t="s">
        <v>208</v>
      </c>
    </row>
  </sheetData>
  <autoFilter ref="A1:G30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V103"/>
  <sheetViews>
    <sheetView workbookViewId="0">
      <selection activeCell="E120" sqref="E120"/>
    </sheetView>
  </sheetViews>
  <sheetFormatPr baseColWidth="10" defaultRowHeight="16" x14ac:dyDescent="0.2"/>
  <cols>
    <col min="1" max="16384" width="10.83203125" style="22"/>
  </cols>
  <sheetData>
    <row r="103" spans="22:22" x14ac:dyDescent="0.2">
      <c r="V103"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R67"/>
  <sheetViews>
    <sheetView topLeftCell="A26" workbookViewId="0">
      <selection activeCell="C17" sqref="C17"/>
    </sheetView>
  </sheetViews>
  <sheetFormatPr baseColWidth="10" defaultRowHeight="16" customHeight="1" x14ac:dyDescent="0.2"/>
  <cols>
    <col min="1" max="1" width="10.83203125" style="1"/>
    <col min="2" max="2" width="23.6640625" style="1" customWidth="1"/>
    <col min="3" max="3" width="46.83203125" style="1" customWidth="1"/>
    <col min="4" max="4" width="20" style="1" customWidth="1"/>
    <col min="5" max="16384" width="10.83203125" style="1"/>
  </cols>
  <sheetData>
    <row r="2" spans="2:4" s="21" customFormat="1" ht="16" customHeight="1" x14ac:dyDescent="0.2">
      <c r="B2" s="21" t="s">
        <v>478</v>
      </c>
    </row>
    <row r="4" spans="2:4" ht="16" customHeight="1" x14ac:dyDescent="0.2">
      <c r="B4" s="46" t="s">
        <v>445</v>
      </c>
      <c r="C4" s="46"/>
    </row>
    <row r="5" spans="2:4" ht="16" customHeight="1" x14ac:dyDescent="0.2">
      <c r="B5" s="2" t="s">
        <v>446</v>
      </c>
      <c r="C5" s="2" t="s">
        <v>447</v>
      </c>
    </row>
    <row r="6" spans="2:4" ht="16" customHeight="1" x14ac:dyDescent="0.2">
      <c r="B6" s="3" t="s">
        <v>448</v>
      </c>
      <c r="C6" s="4">
        <v>12500</v>
      </c>
    </row>
    <row r="7" spans="2:4" ht="16" customHeight="1" x14ac:dyDescent="0.2">
      <c r="B7" s="5" t="s">
        <v>449</v>
      </c>
      <c r="C7" s="6">
        <v>13200</v>
      </c>
    </row>
    <row r="8" spans="2:4" ht="16" customHeight="1" x14ac:dyDescent="0.2">
      <c r="B8" s="3" t="s">
        <v>450</v>
      </c>
      <c r="C8" s="4">
        <v>11800</v>
      </c>
    </row>
    <row r="9" spans="2:4" x14ac:dyDescent="0.2">
      <c r="B9" s="5" t="s">
        <v>451</v>
      </c>
      <c r="C9" s="6">
        <v>14500</v>
      </c>
    </row>
    <row r="10" spans="2:4" ht="16" customHeight="1" x14ac:dyDescent="0.2">
      <c r="B10" s="3" t="s">
        <v>452</v>
      </c>
      <c r="C10" s="4">
        <v>15200</v>
      </c>
    </row>
    <row r="11" spans="2:4" ht="16" customHeight="1" x14ac:dyDescent="0.2">
      <c r="B11" s="5" t="s">
        <v>453</v>
      </c>
      <c r="C11" s="6">
        <v>14800</v>
      </c>
    </row>
    <row r="13" spans="2:4" ht="16" customHeight="1" x14ac:dyDescent="0.2">
      <c r="B13" s="47" t="s">
        <v>454</v>
      </c>
      <c r="C13" s="47"/>
      <c r="D13" s="47"/>
    </row>
    <row r="14" spans="2:4" ht="16" customHeight="1" x14ac:dyDescent="0.2">
      <c r="B14" s="2" t="s">
        <v>455</v>
      </c>
      <c r="C14" s="2" t="s">
        <v>456</v>
      </c>
      <c r="D14" s="2" t="s">
        <v>457</v>
      </c>
    </row>
    <row r="15" spans="2:4" ht="16" customHeight="1" x14ac:dyDescent="0.2">
      <c r="B15" s="7" t="s">
        <v>458</v>
      </c>
      <c r="C15" s="8" t="s">
        <v>459</v>
      </c>
      <c r="D15" s="9">
        <f>AVERAGE(C6:C11)</f>
        <v>13666.666666666666</v>
      </c>
    </row>
    <row r="16" spans="2:4" ht="16" customHeight="1" x14ac:dyDescent="0.2">
      <c r="B16" s="10" t="s">
        <v>460</v>
      </c>
      <c r="C16" s="11" t="s">
        <v>461</v>
      </c>
      <c r="D16" s="12">
        <f>MEDIAN(C6:C11)</f>
        <v>13850</v>
      </c>
    </row>
    <row r="17" spans="1:44" ht="16" customHeight="1" x14ac:dyDescent="0.2">
      <c r="B17" s="7" t="s">
        <v>462</v>
      </c>
      <c r="C17" s="8" t="s">
        <v>463</v>
      </c>
      <c r="D17" s="9">
        <f>STDEV(C6:C11)</f>
        <v>1370.6446172026747</v>
      </c>
    </row>
    <row r="18" spans="1:44" ht="16" customHeight="1" x14ac:dyDescent="0.2">
      <c r="B18" s="10" t="s">
        <v>464</v>
      </c>
      <c r="C18" s="11" t="s">
        <v>465</v>
      </c>
      <c r="D18" s="12">
        <f>VAR(C6:C11)</f>
        <v>1878666.6666666665</v>
      </c>
    </row>
    <row r="19" spans="1:44" ht="16" customHeight="1" x14ac:dyDescent="0.2">
      <c r="B19" s="7" t="s">
        <v>466</v>
      </c>
      <c r="C19" s="8" t="s">
        <v>467</v>
      </c>
      <c r="D19" s="9">
        <f>MIN(C6:C11)</f>
        <v>11800</v>
      </c>
    </row>
    <row r="20" spans="1:44" ht="16" customHeight="1" x14ac:dyDescent="0.2">
      <c r="B20" s="10" t="s">
        <v>468</v>
      </c>
      <c r="C20" s="11" t="s">
        <v>469</v>
      </c>
      <c r="D20" s="12">
        <f>MAX(C6:C11)</f>
        <v>15200</v>
      </c>
    </row>
    <row r="22" spans="1:44" ht="16" customHeight="1" x14ac:dyDescent="0.2">
      <c r="B22" s="47" t="s">
        <v>470</v>
      </c>
      <c r="C22" s="47"/>
      <c r="D22" s="47"/>
    </row>
    <row r="23" spans="1:44" ht="16" customHeight="1" x14ac:dyDescent="0.2">
      <c r="B23" s="2" t="s">
        <v>471</v>
      </c>
      <c r="C23" s="2" t="s">
        <v>456</v>
      </c>
      <c r="D23" s="2" t="s">
        <v>457</v>
      </c>
    </row>
    <row r="24" spans="1:44" ht="31" customHeight="1" x14ac:dyDescent="0.2">
      <c r="B24" s="13" t="s">
        <v>472</v>
      </c>
      <c r="C24" s="14" t="s">
        <v>473</v>
      </c>
      <c r="D24" s="15" t="str">
        <f>INDEX(B6:B11,MATCH(MAX(C6:C11),C6:C11,0))</f>
        <v>Mayo</v>
      </c>
    </row>
    <row r="25" spans="1:44" ht="24" customHeight="1" x14ac:dyDescent="0.2">
      <c r="B25" s="13" t="s">
        <v>474</v>
      </c>
      <c r="C25" s="14" t="s">
        <v>469</v>
      </c>
      <c r="D25" s="16">
        <f>MAX(C6:C11)</f>
        <v>15200</v>
      </c>
    </row>
    <row r="26" spans="1:44" ht="26" customHeight="1" x14ac:dyDescent="0.2">
      <c r="B26" s="17" t="s">
        <v>475</v>
      </c>
      <c r="C26" s="18" t="s">
        <v>476</v>
      </c>
      <c r="D26" s="19" t="str">
        <f>INDEX(B6:B11,MATCH(MIN(C6:C11),C6:C11,0))</f>
        <v>Marzo</v>
      </c>
    </row>
    <row r="27" spans="1:44" ht="25" customHeight="1" x14ac:dyDescent="0.2">
      <c r="B27" s="17" t="s">
        <v>477</v>
      </c>
      <c r="C27" s="18" t="s">
        <v>467</v>
      </c>
      <c r="D27" s="20">
        <f>MIN(C6:C11)</f>
        <v>11800</v>
      </c>
    </row>
    <row r="30" spans="1:44" s="21" customFormat="1" ht="16" customHeight="1" x14ac:dyDescent="0.2">
      <c r="B30" s="27" t="s">
        <v>479</v>
      </c>
    </row>
    <row r="32" spans="1:44" customFormat="1" x14ac:dyDescent="0.2">
      <c r="A32" s="22"/>
      <c r="B32" s="2" t="s">
        <v>446</v>
      </c>
      <c r="C32" s="2" t="s">
        <v>447</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row>
    <row r="33" spans="1:44" customFormat="1" x14ac:dyDescent="0.2">
      <c r="A33" s="22"/>
      <c r="B33" s="23" t="s">
        <v>448</v>
      </c>
      <c r="C33" s="24">
        <v>12500</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row>
    <row r="34" spans="1:44" customFormat="1" x14ac:dyDescent="0.2">
      <c r="A34" s="22"/>
      <c r="B34" s="25" t="s">
        <v>449</v>
      </c>
      <c r="C34" s="26">
        <v>13200</v>
      </c>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row>
    <row r="35" spans="1:44" customFormat="1" x14ac:dyDescent="0.2">
      <c r="A35" s="22"/>
      <c r="B35" s="23" t="s">
        <v>450</v>
      </c>
      <c r="C35" s="24">
        <v>11800</v>
      </c>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row>
    <row r="36" spans="1:44" customFormat="1" x14ac:dyDescent="0.2">
      <c r="A36" s="22"/>
      <c r="B36" s="25" t="s">
        <v>451</v>
      </c>
      <c r="C36" s="26">
        <v>14500</v>
      </c>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spans="1:44" customFormat="1" x14ac:dyDescent="0.2">
      <c r="A37" s="22"/>
      <c r="B37" s="23" t="s">
        <v>452</v>
      </c>
      <c r="C37" s="24">
        <v>15200</v>
      </c>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row>
    <row r="38" spans="1:44" customFormat="1" x14ac:dyDescent="0.2">
      <c r="A38" s="22"/>
      <c r="B38" s="25" t="s">
        <v>453</v>
      </c>
      <c r="C38" s="26">
        <v>14800</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row>
    <row r="39" spans="1:44" customFormat="1" x14ac:dyDescent="0.2">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spans="1:44" customFormat="1"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row>
    <row r="41" spans="1:44" customFormat="1"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row>
    <row r="42" spans="1:44" customFormat="1"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row>
    <row r="43" spans="1:44" customFormat="1"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spans="1:44" customFormat="1"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row>
    <row r="45" spans="1:44" customFormat="1"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row>
    <row r="46" spans="1:44" customFormat="1"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row>
    <row r="47" spans="1:44" customFormat="1"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spans="1:44" customFormat="1"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row>
    <row r="49" spans="1:44" customFormat="1"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spans="1:44" customFormat="1"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row>
    <row r="51" spans="1:44" customFormat="1" ht="16" customHeight="1"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row>
    <row r="52" spans="1:44" customFormat="1" ht="16" customHeight="1"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row>
    <row r="53" spans="1:44" customFormat="1" ht="16" customHeight="1"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row>
    <row r="54" spans="1:44" customFormat="1" ht="16" customHeight="1"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row>
    <row r="55" spans="1:44" customFormat="1" ht="16" customHeight="1"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row>
    <row r="56" spans="1:44" customFormat="1" ht="16" customHeight="1"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row>
    <row r="57" spans="1:44" customFormat="1" ht="16" customHeight="1"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row>
    <row r="58" spans="1:44" customFormat="1" ht="16" customHeight="1"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row>
    <row r="59" spans="1:44" customFormat="1" ht="16" customHeight="1"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row>
    <row r="60" spans="1:44" customFormat="1" ht="16" customHeight="1"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row>
    <row r="61" spans="1:44" customFormat="1" ht="16" customHeight="1"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row>
    <row r="62" spans="1:44" customFormat="1" ht="16" customHeight="1"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row>
    <row r="63" spans="1:44" customFormat="1" ht="16" customHeight="1"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row>
    <row r="64" spans="1:44" customFormat="1" ht="16" customHeight="1"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row>
    <row r="65" spans="1:44" customFormat="1" ht="16" customHeight="1"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row>
    <row r="66" spans="1:44" customFormat="1" ht="16" customHeight="1"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row>
    <row r="67" spans="1:44" customFormat="1" ht="16" customHeight="1"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row>
  </sheetData>
  <mergeCells count="3">
    <mergeCell ref="B4:C4"/>
    <mergeCell ref="B13:D13"/>
    <mergeCell ref="B22:D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63"/>
  <sheetViews>
    <sheetView tabSelected="1" workbookViewId="0">
      <selection activeCell="F24" sqref="F24"/>
    </sheetView>
  </sheetViews>
  <sheetFormatPr baseColWidth="10" defaultRowHeight="16" x14ac:dyDescent="0.2"/>
  <cols>
    <col min="1" max="1" width="15.6640625" style="35" customWidth="1"/>
    <col min="2" max="2" width="20.1640625" style="34" customWidth="1"/>
    <col min="3" max="3" width="16.83203125" style="34" customWidth="1"/>
    <col min="4" max="4" width="15.1640625" style="34" customWidth="1"/>
    <col min="5" max="5" width="18.6640625" style="34" customWidth="1"/>
    <col min="6" max="16384" width="10.83203125" style="34"/>
  </cols>
  <sheetData>
    <row r="2" spans="1:5" s="42" customFormat="1" x14ac:dyDescent="0.2">
      <c r="A2" s="41" t="s">
        <v>629</v>
      </c>
    </row>
    <row r="4" spans="1:5" x14ac:dyDescent="0.2">
      <c r="A4" s="36" t="s">
        <v>576</v>
      </c>
      <c r="B4" s="36" t="s">
        <v>577</v>
      </c>
      <c r="C4" s="36" t="s">
        <v>1</v>
      </c>
      <c r="D4" s="36" t="s">
        <v>578</v>
      </c>
      <c r="E4" s="36" t="s">
        <v>3</v>
      </c>
    </row>
    <row r="5" spans="1:5" x14ac:dyDescent="0.2">
      <c r="A5" s="37" t="s">
        <v>579</v>
      </c>
      <c r="B5" s="37" t="s">
        <v>580</v>
      </c>
      <c r="C5" s="38" t="s">
        <v>581</v>
      </c>
      <c r="D5" s="39">
        <v>3</v>
      </c>
      <c r="E5" s="40">
        <v>2699.97</v>
      </c>
    </row>
    <row r="6" spans="1:5" x14ac:dyDescent="0.2">
      <c r="A6" s="37" t="s">
        <v>582</v>
      </c>
      <c r="B6" s="37" t="s">
        <v>583</v>
      </c>
      <c r="C6" s="38" t="s">
        <v>584</v>
      </c>
      <c r="D6" s="39">
        <v>5</v>
      </c>
      <c r="E6" s="40">
        <v>227.5</v>
      </c>
    </row>
    <row r="7" spans="1:5" x14ac:dyDescent="0.2">
      <c r="A7" s="37" t="s">
        <v>585</v>
      </c>
      <c r="B7" s="37" t="s">
        <v>586</v>
      </c>
      <c r="C7" s="38" t="s">
        <v>587</v>
      </c>
      <c r="D7" s="39">
        <v>2</v>
      </c>
      <c r="E7" s="40">
        <v>239.98</v>
      </c>
    </row>
    <row r="8" spans="1:5" x14ac:dyDescent="0.2">
      <c r="A8" s="37" t="s">
        <v>588</v>
      </c>
      <c r="B8" s="37" t="s">
        <v>589</v>
      </c>
      <c r="C8" s="38" t="s">
        <v>590</v>
      </c>
      <c r="D8" s="39">
        <v>4</v>
      </c>
      <c r="E8" s="40">
        <v>51.96</v>
      </c>
    </row>
    <row r="9" spans="1:5" x14ac:dyDescent="0.2">
      <c r="A9" s="37" t="s">
        <v>591</v>
      </c>
      <c r="B9" s="37" t="s">
        <v>592</v>
      </c>
      <c r="C9" s="38" t="s">
        <v>593</v>
      </c>
      <c r="D9" s="39">
        <v>1</v>
      </c>
      <c r="E9" s="40">
        <v>899.99</v>
      </c>
    </row>
    <row r="10" spans="1:5" x14ac:dyDescent="0.2">
      <c r="A10" s="37" t="s">
        <v>594</v>
      </c>
      <c r="B10" s="37" t="s">
        <v>580</v>
      </c>
      <c r="C10" s="38" t="s">
        <v>595</v>
      </c>
      <c r="D10" s="39">
        <v>2</v>
      </c>
      <c r="E10" s="40">
        <v>1799.98</v>
      </c>
    </row>
    <row r="11" spans="1:5" x14ac:dyDescent="0.2">
      <c r="A11" s="37" t="s">
        <v>596</v>
      </c>
      <c r="B11" s="37" t="s">
        <v>597</v>
      </c>
      <c r="C11" s="38" t="s">
        <v>598</v>
      </c>
      <c r="D11" s="39">
        <v>6</v>
      </c>
      <c r="E11" s="40">
        <v>77.94</v>
      </c>
    </row>
    <row r="12" spans="1:5" x14ac:dyDescent="0.2">
      <c r="A12" s="37" t="s">
        <v>599</v>
      </c>
      <c r="B12" s="37" t="s">
        <v>583</v>
      </c>
      <c r="C12" s="38" t="s">
        <v>600</v>
      </c>
      <c r="D12" s="39">
        <v>3</v>
      </c>
      <c r="E12" s="40">
        <v>136.5</v>
      </c>
    </row>
    <row r="13" spans="1:5" x14ac:dyDescent="0.2">
      <c r="A13" s="37" t="s">
        <v>601</v>
      </c>
      <c r="B13" s="37" t="s">
        <v>602</v>
      </c>
      <c r="C13" s="38" t="s">
        <v>603</v>
      </c>
      <c r="D13" s="39">
        <v>2</v>
      </c>
      <c r="E13" s="40">
        <v>319.98</v>
      </c>
    </row>
    <row r="14" spans="1:5" x14ac:dyDescent="0.2">
      <c r="A14" s="37" t="s">
        <v>604</v>
      </c>
      <c r="B14" s="37" t="s">
        <v>586</v>
      </c>
      <c r="C14" s="38" t="s">
        <v>605</v>
      </c>
      <c r="D14" s="39">
        <v>3</v>
      </c>
      <c r="E14" s="40">
        <v>359.97</v>
      </c>
    </row>
    <row r="15" spans="1:5" x14ac:dyDescent="0.2">
      <c r="A15" s="37" t="s">
        <v>606</v>
      </c>
      <c r="B15" s="37" t="s">
        <v>607</v>
      </c>
      <c r="C15" s="38" t="s">
        <v>608</v>
      </c>
      <c r="D15" s="39">
        <v>5</v>
      </c>
      <c r="E15" s="40">
        <v>124.95</v>
      </c>
    </row>
    <row r="16" spans="1:5" x14ac:dyDescent="0.2">
      <c r="A16" s="37" t="s">
        <v>609</v>
      </c>
      <c r="B16" s="37" t="s">
        <v>589</v>
      </c>
      <c r="C16" s="38" t="s">
        <v>610</v>
      </c>
      <c r="D16" s="39">
        <v>8</v>
      </c>
      <c r="E16" s="40">
        <v>103.92</v>
      </c>
    </row>
    <row r="17" spans="1:5" x14ac:dyDescent="0.2">
      <c r="A17" s="37" t="s">
        <v>611</v>
      </c>
      <c r="B17" s="37" t="s">
        <v>592</v>
      </c>
      <c r="C17" s="38" t="s">
        <v>612</v>
      </c>
      <c r="D17" s="39">
        <v>2</v>
      </c>
      <c r="E17" s="40">
        <v>1799.98</v>
      </c>
    </row>
    <row r="18" spans="1:5" x14ac:dyDescent="0.2">
      <c r="A18" s="37" t="s">
        <v>613</v>
      </c>
      <c r="B18" s="37" t="s">
        <v>614</v>
      </c>
      <c r="C18" s="38" t="s">
        <v>615</v>
      </c>
      <c r="D18" s="39">
        <v>4</v>
      </c>
      <c r="E18" s="40">
        <v>239.96</v>
      </c>
    </row>
    <row r="19" spans="1:5" x14ac:dyDescent="0.2">
      <c r="A19" s="37" t="s">
        <v>616</v>
      </c>
      <c r="B19" s="37" t="s">
        <v>617</v>
      </c>
      <c r="C19" s="38" t="s">
        <v>618</v>
      </c>
      <c r="D19" s="39">
        <v>1</v>
      </c>
      <c r="E19" s="40">
        <v>449.99</v>
      </c>
    </row>
    <row r="20" spans="1:5" x14ac:dyDescent="0.2">
      <c r="A20" s="37" t="s">
        <v>619</v>
      </c>
      <c r="B20" s="37" t="s">
        <v>597</v>
      </c>
      <c r="C20" s="38" t="s">
        <v>620</v>
      </c>
      <c r="D20" s="39">
        <v>3</v>
      </c>
      <c r="E20" s="40">
        <v>38.97</v>
      </c>
    </row>
    <row r="21" spans="1:5" x14ac:dyDescent="0.2">
      <c r="A21" s="37" t="s">
        <v>621</v>
      </c>
      <c r="B21" s="37" t="s">
        <v>580</v>
      </c>
      <c r="C21" s="38" t="s">
        <v>622</v>
      </c>
      <c r="D21" s="39">
        <v>1</v>
      </c>
      <c r="E21" s="40">
        <v>899.99</v>
      </c>
    </row>
    <row r="22" spans="1:5" x14ac:dyDescent="0.2">
      <c r="A22" s="37" t="s">
        <v>623</v>
      </c>
      <c r="B22" s="37" t="s">
        <v>602</v>
      </c>
      <c r="C22" s="38" t="s">
        <v>624</v>
      </c>
      <c r="D22" s="39">
        <v>5</v>
      </c>
      <c r="E22" s="40">
        <v>799.95</v>
      </c>
    </row>
    <row r="23" spans="1:5" x14ac:dyDescent="0.2">
      <c r="A23" s="37" t="s">
        <v>625</v>
      </c>
      <c r="B23" s="37" t="s">
        <v>607</v>
      </c>
      <c r="C23" s="38" t="s">
        <v>626</v>
      </c>
      <c r="D23" s="39">
        <v>2</v>
      </c>
      <c r="E23" s="40">
        <v>49.98</v>
      </c>
    </row>
    <row r="24" spans="1:5" x14ac:dyDescent="0.2">
      <c r="A24" s="37" t="s">
        <v>627</v>
      </c>
      <c r="B24" s="37" t="s">
        <v>617</v>
      </c>
      <c r="C24" s="38" t="s">
        <v>628</v>
      </c>
      <c r="D24" s="39">
        <v>3</v>
      </c>
      <c r="E24" s="40">
        <v>1349.97</v>
      </c>
    </row>
    <row r="28" spans="1:5" s="42" customFormat="1" x14ac:dyDescent="0.2">
      <c r="A28" s="41" t="s">
        <v>636</v>
      </c>
    </row>
    <row r="30" spans="1:5" x14ac:dyDescent="0.2">
      <c r="A30" s="43" t="s">
        <v>577</v>
      </c>
      <c r="B30" s="43" t="s">
        <v>630</v>
      </c>
      <c r="C30" s="43" t="s">
        <v>480</v>
      </c>
      <c r="D30" s="43" t="s">
        <v>631</v>
      </c>
      <c r="E30" s="43" t="s">
        <v>632</v>
      </c>
    </row>
    <row r="31" spans="1:5" x14ac:dyDescent="0.2">
      <c r="A31" s="44" t="s">
        <v>580</v>
      </c>
      <c r="B31" s="44" t="s">
        <v>494</v>
      </c>
      <c r="C31" s="44" t="s">
        <v>633</v>
      </c>
      <c r="D31" s="45">
        <v>899.99</v>
      </c>
      <c r="E31" s="45">
        <v>620</v>
      </c>
    </row>
    <row r="32" spans="1:5" x14ac:dyDescent="0.2">
      <c r="A32" s="44" t="s">
        <v>583</v>
      </c>
      <c r="B32" s="44" t="s">
        <v>516</v>
      </c>
      <c r="C32" s="44" t="s">
        <v>634</v>
      </c>
      <c r="D32" s="45">
        <v>45.5</v>
      </c>
      <c r="E32" s="45">
        <v>18</v>
      </c>
    </row>
    <row r="33" spans="1:5" x14ac:dyDescent="0.2">
      <c r="A33" s="44" t="s">
        <v>586</v>
      </c>
      <c r="B33" s="44" t="s">
        <v>496</v>
      </c>
      <c r="C33" s="44" t="s">
        <v>633</v>
      </c>
      <c r="D33" s="45">
        <v>119.99</v>
      </c>
      <c r="E33" s="45">
        <v>72</v>
      </c>
    </row>
    <row r="34" spans="1:5" x14ac:dyDescent="0.2">
      <c r="A34" s="44" t="s">
        <v>589</v>
      </c>
      <c r="B34" s="44" t="s">
        <v>509</v>
      </c>
      <c r="C34" s="44" t="s">
        <v>26</v>
      </c>
      <c r="D34" s="45">
        <v>12.99</v>
      </c>
      <c r="E34" s="45">
        <v>3.5</v>
      </c>
    </row>
    <row r="35" spans="1:5" x14ac:dyDescent="0.2">
      <c r="A35" s="44" t="s">
        <v>592</v>
      </c>
      <c r="B35" s="44" t="s">
        <v>490</v>
      </c>
      <c r="C35" s="44" t="s">
        <v>633</v>
      </c>
      <c r="D35" s="45">
        <v>899.99</v>
      </c>
      <c r="E35" s="45">
        <v>580</v>
      </c>
    </row>
    <row r="36" spans="1:5" x14ac:dyDescent="0.2">
      <c r="A36" s="44" t="s">
        <v>597</v>
      </c>
      <c r="B36" s="44" t="s">
        <v>508</v>
      </c>
      <c r="C36" s="44" t="s">
        <v>26</v>
      </c>
      <c r="D36" s="45">
        <v>12.99</v>
      </c>
      <c r="E36" s="45">
        <v>4.2</v>
      </c>
    </row>
    <row r="37" spans="1:5" x14ac:dyDescent="0.2">
      <c r="A37" s="44" t="s">
        <v>602</v>
      </c>
      <c r="B37" s="44" t="s">
        <v>482</v>
      </c>
      <c r="C37" s="44" t="s">
        <v>634</v>
      </c>
      <c r="D37" s="45">
        <v>159.99</v>
      </c>
      <c r="E37" s="45">
        <v>65</v>
      </c>
    </row>
    <row r="38" spans="1:5" x14ac:dyDescent="0.2">
      <c r="A38" s="44" t="s">
        <v>607</v>
      </c>
      <c r="B38" s="44" t="s">
        <v>504</v>
      </c>
      <c r="C38" s="44" t="s">
        <v>26</v>
      </c>
      <c r="D38" s="45">
        <v>24.99</v>
      </c>
      <c r="E38" s="45">
        <v>6</v>
      </c>
    </row>
    <row r="39" spans="1:5" x14ac:dyDescent="0.2">
      <c r="A39" s="44" t="s">
        <v>614</v>
      </c>
      <c r="B39" s="44" t="s">
        <v>543</v>
      </c>
      <c r="C39" s="44" t="s">
        <v>634</v>
      </c>
      <c r="D39" s="45">
        <v>59.99</v>
      </c>
      <c r="E39" s="45">
        <v>25</v>
      </c>
    </row>
    <row r="40" spans="1:5" x14ac:dyDescent="0.2">
      <c r="A40" s="44" t="s">
        <v>617</v>
      </c>
      <c r="B40" s="44" t="s">
        <v>635</v>
      </c>
      <c r="C40" s="44" t="s">
        <v>633</v>
      </c>
      <c r="D40" s="45">
        <v>449.99</v>
      </c>
      <c r="E40" s="45">
        <v>310</v>
      </c>
    </row>
    <row r="44" spans="1:5" s="42" customFormat="1" x14ac:dyDescent="0.2">
      <c r="A44" s="41" t="s">
        <v>637</v>
      </c>
    </row>
    <row r="46" spans="1:5" x14ac:dyDescent="0.2">
      <c r="A46" s="35" t="s">
        <v>643</v>
      </c>
    </row>
    <row r="47" spans="1:5" x14ac:dyDescent="0.2">
      <c r="A47" s="35" t="s">
        <v>644</v>
      </c>
    </row>
    <row r="49" spans="1:1" x14ac:dyDescent="0.2">
      <c r="A49" s="35" t="s">
        <v>638</v>
      </c>
    </row>
    <row r="52" spans="1:1" x14ac:dyDescent="0.2">
      <c r="A52" s="21" t="s">
        <v>639</v>
      </c>
    </row>
    <row r="53" spans="1:1" x14ac:dyDescent="0.2">
      <c r="A53" s="22"/>
    </row>
    <row r="54" spans="1:1" x14ac:dyDescent="0.2">
      <c r="A54" s="21" t="s">
        <v>640</v>
      </c>
    </row>
    <row r="55" spans="1:1" x14ac:dyDescent="0.2">
      <c r="A55" s="21" t="s">
        <v>641</v>
      </c>
    </row>
    <row r="56" spans="1:1" ht="17" x14ac:dyDescent="0.25">
      <c r="A56" s="21" t="s">
        <v>642</v>
      </c>
    </row>
    <row r="60" spans="1:1" x14ac:dyDescent="0.2">
      <c r="A60" s="21" t="s">
        <v>645</v>
      </c>
    </row>
    <row r="61" spans="1:1" x14ac:dyDescent="0.2">
      <c r="A61" s="22"/>
    </row>
    <row r="62" spans="1:1" ht="17" x14ac:dyDescent="0.25">
      <c r="A62" s="22" t="s">
        <v>646</v>
      </c>
    </row>
    <row r="63" spans="1:1" x14ac:dyDescent="0.2">
      <c r="A63" s="22"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Material de apoyo - Prueba </vt:lpstr>
      <vt:lpstr>Pregunta 1</vt:lpstr>
      <vt:lpstr>Pregunta 2</vt:lpstr>
      <vt:lpstr>Pregunta 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Usuario de Microsoft Office</cp:lastModifiedBy>
  <dcterms:created xsi:type="dcterms:W3CDTF">2026-06-04T01:36:54Z</dcterms:created>
  <dcterms:modified xsi:type="dcterms:W3CDTF">2026-06-04T03:19:37Z</dcterms:modified>
</cp:coreProperties>
</file>